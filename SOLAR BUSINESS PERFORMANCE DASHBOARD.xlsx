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Operations" sheetId="2" r:id="rId5"/>
    <sheet state="visible" name="Copy of Dashboard" sheetId="3" r:id="rId6"/>
    <sheet state="visible" name="Project Master" sheetId="4" r:id="rId7"/>
    <sheet state="visible" name="Invoice Tracker" sheetId="5" r:id="rId8"/>
    <sheet state="visible" name="Income" sheetId="6" r:id="rId9"/>
    <sheet state="visible" name="Expenses" sheetId="7" r:id="rId10"/>
    <sheet state="visible" name="GST Summary" sheetId="8" r:id="rId11"/>
    <sheet state="visible" name="Bank balances" sheetId="9" r:id="rId12"/>
    <sheet state="visible" name="Bank Statement" sheetId="10" r:id="rId13"/>
    <sheet state="visible" name="Settings" sheetId="11" r:id="rId14"/>
  </sheets>
  <definedNames/>
  <calcPr/>
</workbook>
</file>

<file path=xl/sharedStrings.xml><?xml version="1.0" encoding="utf-8"?>
<sst xmlns="http://schemas.openxmlformats.org/spreadsheetml/2006/main" count="742" uniqueCount="123">
  <si>
    <t>FINANCIAL &amp; PROJECT PERFORMANCE DASHBOARD</t>
  </si>
  <si>
    <t>TOTAL CASH INCOME</t>
  </si>
  <si>
    <t>TOTAL EXPENSES</t>
  </si>
  <si>
    <t>NET CASH PROFIT</t>
  </si>
  <si>
    <t>TOTAL RECEIVABLES</t>
  </si>
  <si>
    <t>Month Start</t>
  </si>
  <si>
    <t>Inflow</t>
  </si>
  <si>
    <t>Outflow</t>
  </si>
  <si>
    <t>Project ID</t>
  </si>
  <si>
    <t>Customer Name</t>
  </si>
  <si>
    <t>Total Income</t>
  </si>
  <si>
    <t>Total Expense</t>
  </si>
  <si>
    <t>Net Profit</t>
  </si>
  <si>
    <t/>
  </si>
  <si>
    <t>OPERATIONS &amp; SUBSIDY TRACKER</t>
  </si>
  <si>
    <t>Total Pending Subsidy</t>
  </si>
  <si>
    <t>MNRE Status</t>
  </si>
  <si>
    <t>Count of Projects</t>
  </si>
  <si>
    <t>MNRE Submitted</t>
  </si>
  <si>
    <t>Loan Applied</t>
  </si>
  <si>
    <t>Loan Approved</t>
  </si>
  <si>
    <t>Installation</t>
  </si>
  <si>
    <t>Net Metering Done</t>
  </si>
  <si>
    <t>C Subsidy</t>
  </si>
  <si>
    <t>S Subsidy</t>
  </si>
  <si>
    <t>Deal Value</t>
  </si>
  <si>
    <t>Funding Type</t>
  </si>
  <si>
    <t>Total Received</t>
  </si>
  <si>
    <t>Balance Due</t>
  </si>
  <si>
    <t>COMMON</t>
  </si>
  <si>
    <t>Common</t>
  </si>
  <si>
    <t>PROJ-1</t>
  </si>
  <si>
    <t>Sareeta Prusty</t>
  </si>
  <si>
    <t>Self-Funded</t>
  </si>
  <si>
    <t>PROJ-2</t>
  </si>
  <si>
    <t>Mr Sharma</t>
  </si>
  <si>
    <t>Date</t>
  </si>
  <si>
    <t>Inv Number</t>
  </si>
  <si>
    <t>Taxable Value</t>
  </si>
  <si>
    <t>GST (5%)</t>
  </si>
  <si>
    <t>Total Invoice</t>
  </si>
  <si>
    <t>Invoice Link</t>
  </si>
  <si>
    <t>SSE1</t>
  </si>
  <si>
    <t>Received From</t>
  </si>
  <si>
    <t>Category</t>
  </si>
  <si>
    <t>Mode</t>
  </si>
  <si>
    <t>Amount</t>
  </si>
  <si>
    <t>Account</t>
  </si>
  <si>
    <t>Booking Advance</t>
  </si>
  <si>
    <t>Cash</t>
  </si>
  <si>
    <t>Final Settlement (Customer)</t>
  </si>
  <si>
    <t>Cheque</t>
  </si>
  <si>
    <t>UCO Bank</t>
  </si>
  <si>
    <t>Vendor</t>
  </si>
  <si>
    <t>Description</t>
  </si>
  <si>
    <t>Total Paid</t>
  </si>
  <si>
    <t>GST %</t>
  </si>
  <si>
    <t>GST Amount</t>
  </si>
  <si>
    <t>Invoice Number</t>
  </si>
  <si>
    <t>Solotech Energy</t>
  </si>
  <si>
    <t>Adani 3kW Solar Kit</t>
  </si>
  <si>
    <t>Solar Kit</t>
  </si>
  <si>
    <t>Civil Material</t>
  </si>
  <si>
    <t>Raw Material</t>
  </si>
  <si>
    <t>Sudip</t>
  </si>
  <si>
    <t>Labour</t>
  </si>
  <si>
    <t>Labour - Installation</t>
  </si>
  <si>
    <t>TPWODL</t>
  </si>
  <si>
    <t>Paid by Dinesh PhonePe</t>
  </si>
  <si>
    <t>Net Metering Fees</t>
  </si>
  <si>
    <t>Electrical Shop</t>
  </si>
  <si>
    <t>MCB - PhonePe dibya</t>
  </si>
  <si>
    <t>JE Pipe</t>
  </si>
  <si>
    <t>FR/6697</t>
  </si>
  <si>
    <t>Jio Fiber</t>
  </si>
  <si>
    <t>Internet Bill</t>
  </si>
  <si>
    <t>Office Expenses</t>
  </si>
  <si>
    <t>Electric Bill</t>
  </si>
  <si>
    <t>Staff Salary</t>
  </si>
  <si>
    <t>Salary</t>
  </si>
  <si>
    <t>Month</t>
  </si>
  <si>
    <t>Output Tax (Sales)</t>
  </si>
  <si>
    <t>Input Tax (Purchase)</t>
  </si>
  <si>
    <t>Net GST Payable</t>
  </si>
  <si>
    <t>FY 25-26 TOTAL</t>
  </si>
  <si>
    <t>BANK BALANCES &amp; LIQUIDITY SNAPSHOT</t>
  </si>
  <si>
    <t>Account Name</t>
  </si>
  <si>
    <t>Total In (+)</t>
  </si>
  <si>
    <t>Total Out (-)</t>
  </si>
  <si>
    <t>Current Balance</t>
  </si>
  <si>
    <t>IDFC Bank</t>
  </si>
  <si>
    <t>Select Account:</t>
  </si>
  <si>
    <t>Opening Balance:</t>
  </si>
  <si>
    <t>Total Income:</t>
  </si>
  <si>
    <t>Total Expense:</t>
  </si>
  <si>
    <t>Current Balance:</t>
  </si>
  <si>
    <t>Description / Vendor</t>
  </si>
  <si>
    <t>Income (+)</t>
  </si>
  <si>
    <t>Expense (-)</t>
  </si>
  <si>
    <t>Running Balance</t>
  </si>
  <si>
    <t>Payment Modes</t>
  </si>
  <si>
    <t>Accounts</t>
  </si>
  <si>
    <t>Income Categories</t>
  </si>
  <si>
    <t>Vendors</t>
  </si>
  <si>
    <t>Direct Categories</t>
  </si>
  <si>
    <t>UPI</t>
  </si>
  <si>
    <t>Booking</t>
  </si>
  <si>
    <t>Solotech Green Energy</t>
  </si>
  <si>
    <t>Bank Transfer</t>
  </si>
  <si>
    <t>Bank Loan (Part)</t>
  </si>
  <si>
    <t>KD Powers</t>
  </si>
  <si>
    <t>Structure &amp; Mounting</t>
  </si>
  <si>
    <t>Bank Loan (Final)</t>
  </si>
  <si>
    <t>Part Payment (Customer)</t>
  </si>
  <si>
    <t>Transportation</t>
  </si>
  <si>
    <t>Net Metering Fee</t>
  </si>
  <si>
    <t>Project - Others</t>
  </si>
  <si>
    <t>Office Rent</t>
  </si>
  <si>
    <t>Tools &amp; Equipment</t>
  </si>
  <si>
    <t>Travel &amp; Petrol</t>
  </si>
  <si>
    <t>Stationery</t>
  </si>
  <si>
    <t>Professional Fees (CA)</t>
  </si>
  <si>
    <t>Misc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</si>
</sst>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₹#,##0"/>
    <numFmt numFmtId="165" formatCode="MMM-yy"/>
    <numFmt numFmtId="166" formatCode="dd/mm/yyyy"/>
    <numFmt numFmtId="167" formatCode="₹#,##0.00"/>
    <numFmt numFmtId="168" formatCode="0'%'"/>
    <numFmt numFmtId="169" formatCode="mmm-d"/>
    <numFmt numFmtId="170" formatCode="mmmm-d"/>
  </numFmts>
  <fonts count="14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2D7D32"/>
      <name val="Arial"/>
      <scheme val="minor"/>
    </font>
    <font>
      <b/>
      <color rgb="FFFFFFFF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b/>
      <sz val="16.0"/>
      <color rgb="FFFFFFFF"/>
      <name val="Arial"/>
      <scheme val="minor"/>
    </font>
    <font>
      <b/>
      <color rgb="FF2D7D32"/>
      <name val="Arial"/>
      <scheme val="minor"/>
    </font>
    <font>
      <b/>
      <color rgb="FFC62828"/>
      <name val="Arial"/>
      <scheme val="minor"/>
    </font>
    <font>
      <color rgb="FF2D7D32"/>
      <name val="Arial"/>
      <scheme val="minor"/>
    </font>
    <font>
      <color rgb="FFC62828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444444"/>
        <bgColor rgb="FF444444"/>
      </patternFill>
    </fill>
    <fill>
      <patternFill patternType="solid">
        <fgColor rgb="FF9FC5E8"/>
        <bgColor rgb="FF9FC5E8"/>
      </patternFill>
    </fill>
    <fill>
      <patternFill patternType="solid">
        <fgColor rgb="FFEEEEEE"/>
        <bgColor rgb="FFEEEEEE"/>
      </patternFill>
    </fill>
    <fill>
      <patternFill patternType="solid">
        <fgColor rgb="FF7B3294"/>
        <bgColor rgb="FF7B3294"/>
      </patternFill>
    </fill>
    <fill>
      <patternFill patternType="solid">
        <fgColor rgb="FF2D7D32"/>
        <bgColor rgb="FF2D7D32"/>
      </patternFill>
    </fill>
    <fill>
      <patternFill patternType="solid">
        <fgColor rgb="FFC62828"/>
        <bgColor rgb="FFC62828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0" fontId="4" numFmtId="164" xfId="0" applyAlignment="1" applyFont="1" applyNumberFormat="1">
      <alignment horizontal="center"/>
    </xf>
    <xf borderId="0" fillId="5" fontId="5" numFmtId="164" xfId="0" applyAlignment="1" applyFill="1" applyFont="1" applyNumberFormat="1">
      <alignment horizontal="center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6" fontId="6" numFmtId="0" xfId="0" applyAlignment="1" applyFill="1" applyFont="1">
      <alignment readingOrder="0"/>
    </xf>
    <xf borderId="0" fillId="0" fontId="2" numFmtId="0" xfId="0" applyFont="1"/>
    <xf borderId="0" fillId="7" fontId="7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8" fontId="3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10" fontId="6" numFmtId="0" xfId="0" applyAlignment="1" applyFill="1" applyFont="1">
      <alignment readingOrder="0"/>
    </xf>
    <xf borderId="0" fillId="0" fontId="8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readingOrder="0"/>
    </xf>
    <xf borderId="0" fillId="11" fontId="6" numFmtId="0" xfId="0" applyAlignment="1" applyFill="1" applyFont="1">
      <alignment readingOrder="0"/>
    </xf>
    <xf borderId="0" fillId="0" fontId="2" numFmtId="167" xfId="0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Font="1" applyNumberFormat="1"/>
    <xf borderId="0" fillId="12" fontId="3" numFmtId="0" xfId="0" applyAlignment="1" applyFill="1" applyFont="1">
      <alignment horizontal="center"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8" fontId="3" numFmtId="167" xfId="0" applyFont="1" applyNumberFormat="1"/>
    <xf borderId="0" fillId="6" fontId="9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0" fontId="10" numFmtId="167" xfId="0" applyFont="1" applyNumberFormat="1"/>
    <xf borderId="0" fillId="0" fontId="11" numFmtId="167" xfId="0" applyFont="1" applyNumberFormat="1"/>
    <xf borderId="0" fillId="5" fontId="3" numFmtId="167" xfId="0" applyFont="1" applyNumberFormat="1"/>
    <xf borderId="0" fillId="6" fontId="6" numFmtId="0" xfId="0" applyAlignment="1" applyFont="1">
      <alignment horizontal="center" readingOrder="0"/>
    </xf>
    <xf borderId="0" fillId="0" fontId="12" numFmtId="167" xfId="0" applyFont="1" applyNumberFormat="1"/>
    <xf borderId="0" fillId="0" fontId="13" numFmtId="167" xfId="0" applyFont="1" applyNumberFormat="1"/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Cash Flow (Inflow vs Outflow)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D7D32"/>
            </a:solidFill>
            <a:ln cmpd="sng">
              <a:solidFill>
                <a:srgbClr val="000000"/>
              </a:solidFill>
            </a:ln>
          </c:spPr>
          <c:cat>
            <c:strRef>
              <c:f>Dashboard!$H$1:$H$15</c:f>
            </c:strRef>
          </c:cat>
          <c:val>
            <c:numRef>
              <c:f>Dashboard!$I$1:$I$15</c:f>
              <c:numCache/>
            </c:numRef>
          </c:val>
        </c:ser>
        <c:ser>
          <c:idx val="1"/>
          <c:order val="1"/>
          <c:spPr>
            <a:solidFill>
              <a:srgbClr val="C62828"/>
            </a:solidFill>
            <a:ln cmpd="sng">
              <a:solidFill>
                <a:srgbClr val="000000"/>
              </a:solidFill>
            </a:ln>
          </c:spPr>
          <c:cat>
            <c:strRef>
              <c:f>Dashboard!$H$1:$H$15</c:f>
            </c:strRef>
          </c:cat>
          <c:val>
            <c:numRef>
              <c:f>Dashboard!$J$1:$J$15</c:f>
              <c:numCache/>
            </c:numRef>
          </c:val>
        </c:ser>
        <c:axId val="356159696"/>
        <c:axId val="371798596"/>
      </c:barChart>
      <c:catAx>
        <c:axId val="35615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98596"/>
      </c:catAx>
      <c:valAx>
        <c:axId val="371798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159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Breakdown by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Pt>
            <c:idx val="112"/>
            <c:spPr>
              <a:solidFill>
                <a:srgbClr val="FF815D"/>
              </a:solidFill>
            </c:spPr>
          </c:dPt>
          <c:dPt>
            <c:idx val="113"/>
            <c:spPr>
              <a:solidFill>
                <a:srgbClr val="2D21FA"/>
              </a:solidFill>
            </c:spPr>
          </c:dPt>
          <c:dPt>
            <c:idx val="114"/>
            <c:spPr>
              <a:solidFill>
                <a:srgbClr val="773C33"/>
              </a:solidFill>
            </c:spPr>
          </c:dPt>
          <c:dPt>
            <c:idx val="115"/>
            <c:spPr>
              <a:solidFill>
                <a:srgbClr val="6273B4"/>
              </a:solidFill>
            </c:spPr>
          </c:dPt>
          <c:dPt>
            <c:idx val="116"/>
            <c:spPr>
              <a:solidFill>
                <a:srgbClr val="123A9B"/>
              </a:solidFill>
            </c:spPr>
          </c:dPt>
          <c:dPt>
            <c:idx val="117"/>
            <c:spPr>
              <a:solidFill>
                <a:srgbClr val="B99827"/>
              </a:solidFill>
            </c:spPr>
          </c:dPt>
          <c:dPt>
            <c:idx val="118"/>
            <c:spPr>
              <a:solidFill>
                <a:srgbClr val="FFADA9"/>
              </a:solidFill>
            </c:spPr>
          </c:dPt>
          <c:dPt>
            <c:idx val="119"/>
            <c:spPr>
              <a:solidFill>
                <a:srgbClr val="65350B"/>
              </a:solidFill>
            </c:spPr>
          </c:dPt>
          <c:dPt>
            <c:idx val="120"/>
            <c:spPr>
              <a:solidFill>
                <a:srgbClr val="B06136"/>
              </a:solidFill>
            </c:spPr>
          </c:dPt>
          <c:dPt>
            <c:idx val="121"/>
            <c:spPr>
              <a:solidFill>
                <a:srgbClr val="68ABF1"/>
              </a:solidFill>
            </c:spPr>
          </c:dPt>
          <c:dPt>
            <c:idx val="122"/>
            <c:spPr>
              <a:solidFill>
                <a:srgbClr val="134EE6"/>
              </a:solidFill>
            </c:spPr>
          </c:dPt>
          <c:dPt>
            <c:idx val="123"/>
            <c:spPr>
              <a:solidFill>
                <a:srgbClr val="F6B25B"/>
              </a:solidFill>
            </c:spPr>
          </c:dPt>
          <c:dPt>
            <c:idx val="124"/>
            <c:spPr>
              <a:solidFill>
                <a:srgbClr val="FFD9F5"/>
              </a:solidFill>
            </c:spPr>
          </c:dPt>
          <c:dPt>
            <c:idx val="125"/>
            <c:spPr>
              <a:solidFill>
                <a:srgbClr val="9C491C"/>
              </a:solidFill>
            </c:spPr>
          </c:dPt>
          <c:dPt>
            <c:idx val="126"/>
            <c:spPr>
              <a:solidFill>
                <a:srgbClr val="E98639"/>
              </a:solidFill>
            </c:spPr>
          </c:dPt>
          <c:dPt>
            <c:idx val="127"/>
            <c:spPr>
              <a:solidFill>
                <a:srgbClr val="6EE32E"/>
              </a:solidFill>
            </c:spPr>
          </c:dPt>
          <c:dPt>
            <c:idx val="128"/>
            <c:spPr>
              <a:solidFill>
                <a:srgbClr val="146231"/>
              </a:solidFill>
            </c:spPr>
          </c:dPt>
          <c:dPt>
            <c:idx val="129"/>
            <c:spPr>
              <a:solidFill>
                <a:srgbClr val="33CC8F"/>
              </a:solidFill>
            </c:spPr>
          </c:dPt>
          <c:dPt>
            <c:idx val="130"/>
            <c:spPr>
              <a:solidFill>
                <a:srgbClr val="FF0541"/>
              </a:solidFill>
            </c:spPr>
          </c:dPt>
          <c:dPt>
            <c:idx val="131"/>
            <c:spPr>
              <a:solidFill>
                <a:srgbClr val="D45D2D"/>
              </a:solidFill>
            </c:spPr>
          </c:dPt>
          <c:dPt>
            <c:idx val="132"/>
            <c:spPr>
              <a:solidFill>
                <a:srgbClr val="21AA3D"/>
              </a:solidFill>
            </c:spPr>
          </c:dPt>
          <c:dPt>
            <c:idx val="133"/>
            <c:spPr>
              <a:solidFill>
                <a:srgbClr val="751C6A"/>
              </a:solidFill>
            </c:spPr>
          </c:dPt>
          <c:dPt>
            <c:idx val="134"/>
            <c:spPr>
              <a:solidFill>
                <a:srgbClr val="15767D"/>
              </a:solidFill>
            </c:spPr>
          </c:dPt>
          <c:dPt>
            <c:idx val="135"/>
            <c:spPr>
              <a:solidFill>
                <a:srgbClr val="70E6C2"/>
              </a:solidFill>
            </c:spPr>
          </c:dPt>
          <c:dPt>
            <c:idx val="136"/>
            <c:spPr>
              <a:solidFill>
                <a:srgbClr val="FF318D"/>
              </a:solidFill>
            </c:spPr>
          </c:dPt>
          <c:dPt>
            <c:idx val="137"/>
            <c:spPr>
              <a:solidFill>
                <a:srgbClr val="0B713E"/>
              </a:solidFill>
            </c:spPr>
          </c:dPt>
          <c:dPt>
            <c:idx val="138"/>
            <c:spPr>
              <a:solidFill>
                <a:srgbClr val="5ACF40"/>
              </a:solidFill>
            </c:spPr>
          </c:dPt>
          <c:dPt>
            <c:idx val="139"/>
            <c:spPr>
              <a:solidFill>
                <a:srgbClr val="7B54A7"/>
              </a:solidFill>
            </c:spPr>
          </c:dPt>
          <c:dPt>
            <c:idx val="140"/>
            <c:spPr>
              <a:solidFill>
                <a:srgbClr val="178AC8"/>
              </a:solidFill>
            </c:spPr>
          </c:dPt>
          <c:dPt>
            <c:idx val="141"/>
            <c:spPr>
              <a:solidFill>
                <a:srgbClr val="AD00F6"/>
              </a:solidFill>
            </c:spPr>
          </c:dPt>
          <c:dPt>
            <c:idx val="142"/>
            <c:spPr>
              <a:solidFill>
                <a:srgbClr val="FF5CDA"/>
              </a:solidFill>
            </c:spPr>
          </c:dPt>
          <c:dPt>
            <c:idx val="143"/>
            <c:spPr>
              <a:solidFill>
                <a:srgbClr val="43844F"/>
              </a:solidFill>
            </c:spPr>
          </c:dPt>
          <c:dPt>
            <c:idx val="144"/>
            <c:spPr>
              <a:solidFill>
                <a:srgbClr val="93F343"/>
              </a:solidFill>
            </c:spPr>
          </c:dPt>
          <c:dPt>
            <c:idx val="145"/>
            <c:spPr>
              <a:solidFill>
                <a:srgbClr val="818DE3"/>
              </a:solidFill>
            </c:spPr>
          </c:dPt>
          <c:dPt>
            <c:idx val="146"/>
            <c:spPr>
              <a:solidFill>
                <a:srgbClr val="189E13"/>
              </a:solidFill>
            </c:spPr>
          </c:dPt>
          <c:dPt>
            <c:idx val="147"/>
            <c:spPr>
              <a:solidFill>
                <a:srgbClr val="EA1A29"/>
              </a:solidFill>
            </c:spPr>
          </c:dPt>
          <c:dPt>
            <c:idx val="148"/>
            <c:spPr>
              <a:solidFill>
                <a:srgbClr val="FF8826"/>
              </a:solidFill>
            </c:spPr>
          </c:dPt>
          <c:dPt>
            <c:idx val="149"/>
            <c:spPr>
              <a:solidFill>
                <a:srgbClr val="7A9860"/>
              </a:solidFill>
            </c:spPr>
          </c:dPt>
          <c:dPt>
            <c:idx val="150"/>
            <c:spPr>
              <a:solidFill>
                <a:srgbClr val="CC1847"/>
              </a:solidFill>
            </c:spPr>
          </c:dPt>
          <c:dPt>
            <c:idx val="151"/>
            <c:spPr>
              <a:solidFill>
                <a:srgbClr val="88C520"/>
              </a:solidFill>
            </c:spPr>
          </c:dPt>
          <c:dPt>
            <c:idx val="152"/>
            <c:spPr>
              <a:solidFill>
                <a:srgbClr val="19B35F"/>
              </a:solidFill>
            </c:spPr>
          </c:dPt>
          <c:dPt>
            <c:idx val="153"/>
            <c:spPr>
              <a:solidFill>
                <a:srgbClr val="27355D"/>
              </a:solidFill>
            </c:spPr>
          </c:dPt>
          <c:dPt>
            <c:idx val="154"/>
            <c:spPr>
              <a:solidFill>
                <a:srgbClr val="FFB472"/>
              </a:solidFill>
            </c:spPr>
          </c:dPt>
          <c:dPt>
            <c:idx val="155"/>
            <c:spPr>
              <a:solidFill>
                <a:srgbClr val="B2AC72"/>
              </a:solidFill>
            </c:spPr>
          </c:dPt>
          <c:dPt>
            <c:idx val="156"/>
            <c:spPr>
              <a:solidFill>
                <a:srgbClr val="043D4A"/>
              </a:solidFill>
            </c:spPr>
          </c:dPt>
          <c:dPt>
            <c:idx val="157"/>
            <c:spPr>
              <a:solidFill>
                <a:srgbClr val="8EFD5D"/>
              </a:solidFill>
            </c:spPr>
          </c:dPt>
          <c:dPt>
            <c:idx val="158"/>
            <c:spPr>
              <a:solidFill>
                <a:srgbClr val="1AC7AA"/>
              </a:solidFill>
            </c:spPr>
          </c:dPt>
          <c:dPt>
            <c:idx val="159"/>
            <c:spPr>
              <a:solidFill>
                <a:srgbClr val="634F91"/>
              </a:solidFill>
            </c:spPr>
          </c:dPt>
          <c:dPt>
            <c:idx val="160"/>
            <c:spPr>
              <a:solidFill>
                <a:srgbClr val="FFE0BE"/>
              </a:solidFill>
            </c:spPr>
          </c:dPt>
          <c:dPt>
            <c:idx val="161"/>
            <c:spPr>
              <a:solidFill>
                <a:srgbClr val="E9C083"/>
              </a:solidFill>
            </c:spPr>
          </c:dPt>
          <c:dPt>
            <c:idx val="162"/>
            <c:spPr>
              <a:solidFill>
                <a:srgbClr val="3D614D"/>
              </a:solidFill>
            </c:spPr>
          </c:dPt>
          <c:dPt>
            <c:idx val="163"/>
            <c:spPr>
              <a:solidFill>
                <a:srgbClr val="943699"/>
              </a:solidFill>
            </c:spPr>
          </c:dPt>
          <c:dPt>
            <c:idx val="164"/>
            <c:spPr>
              <a:solidFill>
                <a:srgbClr val="1BDBF5"/>
              </a:solidFill>
            </c:spPr>
          </c:dPt>
          <c:dPt>
            <c:idx val="165"/>
            <c:spPr>
              <a:solidFill>
                <a:srgbClr val="A069C4"/>
              </a:solidFill>
            </c:spPr>
          </c:dPt>
          <c:dPt>
            <c:idx val="166"/>
            <c:spPr>
              <a:solidFill>
                <a:srgbClr val="FF0C0A"/>
              </a:solidFill>
            </c:spPr>
          </c:dPt>
          <c:dPt>
            <c:idx val="167"/>
            <c:spPr>
              <a:solidFill>
                <a:srgbClr val="21D494"/>
              </a:solidFill>
            </c:spPr>
          </c:dPt>
          <c:dPt>
            <c:idx val="168"/>
            <c:spPr>
              <a:solidFill>
                <a:srgbClr val="768650"/>
              </a:solidFill>
            </c:spPr>
          </c:dPt>
          <c:dPt>
            <c:idx val="169"/>
            <c:spPr>
              <a:solidFill>
                <a:srgbClr val="9A6ED6"/>
              </a:solidFill>
            </c:spPr>
          </c:dPt>
          <c:dPt>
            <c:idx val="170"/>
            <c:spPr>
              <a:solidFill>
                <a:srgbClr val="1DEF40"/>
              </a:solidFill>
            </c:spPr>
          </c:dPt>
          <c:dPt>
            <c:idx val="171"/>
            <c:spPr>
              <a:solidFill>
                <a:srgbClr val="DD83F8"/>
              </a:solidFill>
            </c:spPr>
          </c:dPt>
          <c:dPt>
            <c:idx val="172"/>
            <c:spPr>
              <a:solidFill>
                <a:srgbClr val="FF3757"/>
              </a:solidFill>
            </c:spPr>
          </c:dPt>
          <c:dPt>
            <c:idx val="173"/>
            <c:spPr>
              <a:solidFill>
                <a:srgbClr val="58E7A5"/>
              </a:solidFill>
            </c:spPr>
          </c:dPt>
          <c:dPt>
            <c:idx val="174"/>
            <c:spPr>
              <a:solidFill>
                <a:srgbClr val="AEAA54"/>
              </a:solidFill>
            </c:spPr>
          </c:dPt>
          <c:dPt>
            <c:idx val="175"/>
            <c:spPr>
              <a:solidFill>
                <a:srgbClr val="A1A712"/>
              </a:solidFill>
            </c:spPr>
          </c:dPt>
          <c:dPt>
            <c:idx val="176"/>
            <c:spPr>
              <a:solidFill>
                <a:srgbClr val="1E038C"/>
              </a:solidFill>
            </c:spPr>
          </c:dPt>
          <c:dPt>
            <c:idx val="177"/>
            <c:spPr>
              <a:solidFill>
                <a:srgbClr val="1A9D2B"/>
              </a:solidFill>
            </c:spPr>
          </c:dPt>
          <c:dPt>
            <c:idx val="178"/>
            <c:spPr>
              <a:solidFill>
                <a:srgbClr val="FF63A3"/>
              </a:solidFill>
            </c:spPr>
          </c:dPt>
          <c:dPt>
            <c:idx val="179"/>
            <c:spPr>
              <a:solidFill>
                <a:srgbClr val="90FBB6"/>
              </a:solidFill>
            </c:spPr>
          </c:dPt>
          <c:dPt>
            <c:idx val="180"/>
            <c:spPr>
              <a:solidFill>
                <a:srgbClr val="E7CF57"/>
              </a:solidFill>
            </c:spPr>
          </c:dPt>
          <c:dPt>
            <c:idx val="181"/>
            <c:spPr>
              <a:solidFill>
                <a:srgbClr val="A7DF4F"/>
              </a:solidFill>
            </c:spPr>
          </c:dPt>
          <c:dPt>
            <c:idx val="182"/>
            <c:spPr>
              <a:solidFill>
                <a:srgbClr val="1F17D7"/>
              </a:solidFill>
            </c:spPr>
          </c:dPt>
          <c:dPt>
            <c:idx val="183"/>
            <c:spPr>
              <a:solidFill>
                <a:srgbClr val="57B75F"/>
              </a:solidFill>
            </c:spPr>
          </c:dPt>
          <c:dPt>
            <c:idx val="184"/>
            <c:spPr>
              <a:solidFill>
                <a:srgbClr val="FF8FEF"/>
              </a:solidFill>
            </c:spPr>
          </c:dPt>
          <c:dPt>
            <c:idx val="185"/>
            <c:spPr>
              <a:solidFill>
                <a:srgbClr val="C70FC7"/>
              </a:solidFill>
            </c:spPr>
          </c:dPt>
          <c:dPt>
            <c:idx val="186"/>
            <c:spPr>
              <a:solidFill>
                <a:srgbClr val="20F45A"/>
              </a:solidFill>
            </c:spPr>
          </c:dPt>
          <c:dPt>
            <c:idx val="187"/>
            <c:spPr>
              <a:solidFill>
                <a:srgbClr val="AD178C"/>
              </a:solidFill>
            </c:spPr>
          </c:dPt>
          <c:dPt>
            <c:idx val="188"/>
            <c:spPr>
              <a:solidFill>
                <a:srgbClr val="202B22"/>
              </a:solidFill>
            </c:spPr>
          </c:dPt>
          <c:dPt>
            <c:idx val="189"/>
            <c:spPr>
              <a:solidFill>
                <a:srgbClr val="94D193"/>
              </a:solidFill>
            </c:spPr>
          </c:dPt>
          <c:dPt>
            <c:idx val="190"/>
            <c:spPr>
              <a:solidFill>
                <a:srgbClr val="FFBB3B"/>
              </a:solidFill>
            </c:spPr>
          </c:dPt>
          <c:dPt>
            <c:idx val="191"/>
            <c:spPr>
              <a:solidFill>
                <a:srgbClr val="FF23D8"/>
              </a:solidFill>
            </c:spPr>
          </c:dPt>
          <c:dPt>
            <c:idx val="192"/>
            <c:spPr>
              <a:solidFill>
                <a:srgbClr val="58185E"/>
              </a:solidFill>
            </c:spPr>
          </c:dPt>
          <c:dPt>
            <c:idx val="193"/>
            <c:spPr>
              <a:solidFill>
                <a:srgbClr val="B450C8"/>
              </a:solidFill>
            </c:spPr>
          </c:dPt>
          <c:dPt>
            <c:idx val="194"/>
            <c:spPr>
              <a:solidFill>
                <a:srgbClr val="213F6E"/>
              </a:solidFill>
            </c:spPr>
          </c:dPt>
          <c:dPt>
            <c:idx val="195"/>
            <c:spPr>
              <a:solidFill>
                <a:srgbClr val="D1EBC6"/>
              </a:solidFill>
            </c:spPr>
          </c:dPt>
          <c:dPt>
            <c:idx val="196"/>
            <c:spPr>
              <a:solidFill>
                <a:srgbClr val="FFE787"/>
              </a:solidFill>
            </c:spPr>
          </c:dPt>
          <c:dPt>
            <c:idx val="197"/>
            <c:spPr>
              <a:solidFill>
                <a:srgbClr val="3637E9"/>
              </a:solidFill>
            </c:spPr>
          </c:dPt>
          <c:dPt>
            <c:idx val="198"/>
            <c:spPr>
              <a:solidFill>
                <a:srgbClr val="913D61"/>
              </a:solidFill>
            </c:spPr>
          </c:dPt>
          <c:dPt>
            <c:idx val="199"/>
            <c:spPr>
              <a:solidFill>
                <a:srgbClr val="BA8805"/>
              </a:solidFill>
            </c:spPr>
          </c:dPt>
          <c:dPt>
            <c:idx val="200"/>
            <c:spPr>
              <a:solidFill>
                <a:srgbClr val="2353B9"/>
              </a:solidFill>
            </c:spPr>
          </c:dPt>
          <c:dPt>
            <c:idx val="201"/>
            <c:spPr>
              <a:solidFill>
                <a:srgbClr val="0E05FA"/>
              </a:solidFill>
            </c:spPr>
          </c:dPt>
          <c:dPt>
            <c:idx val="202"/>
            <c:spPr>
              <a:solidFill>
                <a:srgbClr val="FF12D4"/>
              </a:solidFill>
            </c:spPr>
          </c:dPt>
          <c:dPt>
            <c:idx val="203"/>
            <c:spPr>
              <a:solidFill>
                <a:srgbClr val="6D4AFA"/>
              </a:solidFill>
            </c:spPr>
          </c:dPt>
          <c:dPt>
            <c:idx val="204"/>
            <c:spPr>
              <a:solidFill>
                <a:srgbClr val="CA6164"/>
              </a:solidFill>
            </c:spPr>
          </c:dPt>
          <c:dPt>
            <c:idx val="205"/>
            <c:spPr>
              <a:solidFill>
                <a:srgbClr val="C0C141"/>
              </a:solidFill>
            </c:spPr>
          </c:dPt>
          <c:dPt>
            <c:idx val="206"/>
            <c:spPr>
              <a:solidFill>
                <a:srgbClr val="246704"/>
              </a:solidFill>
            </c:spPr>
          </c:dPt>
          <c:dPt>
            <c:idx val="207"/>
            <c:spPr>
              <a:solidFill>
                <a:srgbClr val="4B1F2D"/>
              </a:solidFill>
            </c:spPr>
          </c:dPt>
          <c:dPt>
            <c:idx val="208"/>
            <c:spPr>
              <a:solidFill>
                <a:srgbClr val="FF3E20"/>
              </a:solidFill>
            </c:spPr>
          </c:dPt>
          <c:dPt>
            <c:idx val="209"/>
            <c:spPr>
              <a:solidFill>
                <a:srgbClr val="A55E0B"/>
              </a:solidFill>
            </c:spPr>
          </c:dPt>
          <c:dPt>
            <c:idx val="210"/>
            <c:spPr>
              <a:solidFill>
                <a:srgbClr val="038668"/>
              </a:solidFill>
            </c:spPr>
          </c:dPt>
          <c:dPt>
            <c:idx val="211"/>
            <c:spPr>
              <a:solidFill>
                <a:srgbClr val="C7F97E"/>
              </a:solidFill>
            </c:spPr>
          </c:dPt>
          <c:dPt>
            <c:idx val="212"/>
            <c:spPr>
              <a:solidFill>
                <a:srgbClr val="257C50"/>
              </a:solidFill>
            </c:spPr>
          </c:dPt>
          <c:dPt>
            <c:idx val="213"/>
            <c:spPr>
              <a:solidFill>
                <a:srgbClr val="883A61"/>
              </a:solidFill>
            </c:spPr>
          </c:dPt>
          <c:dPt>
            <c:idx val="214"/>
            <c:spPr>
              <a:solidFill>
                <a:srgbClr val="FF6A6C"/>
              </a:solidFill>
            </c:spPr>
          </c:dPt>
          <c:dPt>
            <c:idx val="215"/>
            <c:spPr>
              <a:solidFill>
                <a:srgbClr val="DD721D"/>
              </a:solidFill>
            </c:spPr>
          </c:dPt>
          <c:dPt>
            <c:idx val="216"/>
            <c:spPr>
              <a:solidFill>
                <a:srgbClr val="3BAB6B"/>
              </a:solidFill>
            </c:spPr>
          </c:dPt>
          <c:dPt>
            <c:idx val="217"/>
            <c:spPr>
              <a:solidFill>
                <a:srgbClr val="CD31BB"/>
              </a:solidFill>
            </c:spPr>
          </c:dPt>
          <c:dPt>
            <c:idx val="218"/>
            <c:spPr>
              <a:solidFill>
                <a:srgbClr val="26909B"/>
              </a:solidFill>
            </c:spPr>
          </c:dPt>
          <c:dPt>
            <c:idx val="219"/>
            <c:spPr>
              <a:solidFill>
                <a:srgbClr val="C45495"/>
              </a:solidFill>
            </c:spPr>
          </c:dPt>
          <c:dPt>
            <c:idx val="220"/>
            <c:spPr>
              <a:solidFill>
                <a:srgbClr val="FF96B8"/>
              </a:solidFill>
            </c:spPr>
          </c:dPt>
          <c:dPt>
            <c:idx val="221"/>
            <c:spPr>
              <a:solidFill>
                <a:srgbClr val="14862E"/>
              </a:solidFill>
            </c:spPr>
          </c:dPt>
          <c:dPt>
            <c:idx val="222"/>
            <c:spPr>
              <a:solidFill>
                <a:srgbClr val="74CF6E"/>
              </a:solidFill>
            </c:spPr>
          </c:dPt>
          <c:dPt>
            <c:idx val="223"/>
            <c:spPr>
              <a:solidFill>
                <a:srgbClr val="D36AF7"/>
              </a:solidFill>
            </c:spPr>
          </c:dPt>
          <c:dPt>
            <c:idx val="224"/>
            <c:spPr>
              <a:solidFill>
                <a:srgbClr val="27A4E6"/>
              </a:solidFill>
            </c:spPr>
          </c:dPt>
          <c:dPt>
            <c:idx val="225"/>
            <c:spPr>
              <a:solidFill>
                <a:srgbClr val="016EC8"/>
              </a:solidFill>
            </c:spPr>
          </c:dPt>
          <c:dPt>
            <c:idx val="226"/>
            <c:spPr>
              <a:solidFill>
                <a:srgbClr val="FFC204"/>
              </a:solidFill>
            </c:spPr>
          </c:dPt>
          <c:dPt>
            <c:idx val="227"/>
            <c:spPr>
              <a:solidFill>
                <a:srgbClr val="4C9A3F"/>
              </a:solidFill>
            </c:spPr>
          </c:dPt>
          <c:dPt>
            <c:idx val="228"/>
            <c:spPr>
              <a:solidFill>
                <a:srgbClr val="ADF471"/>
              </a:solidFill>
            </c:spPr>
          </c:dPt>
          <c:dPt>
            <c:idx val="229"/>
            <c:spPr>
              <a:solidFill>
                <a:srgbClr val="D9A234"/>
              </a:solidFill>
            </c:spPr>
          </c:dPt>
          <c:dPt>
            <c:idx val="230"/>
            <c:spPr>
              <a:solidFill>
                <a:srgbClr val="29B831"/>
              </a:solidFill>
            </c:spPr>
          </c:dPt>
          <c:dPt>
            <c:idx val="231"/>
            <c:spPr>
              <a:solidFill>
                <a:srgbClr val="3E88FC"/>
              </a:solidFill>
            </c:spPr>
          </c:dPt>
          <c:dPt>
            <c:idx val="232"/>
            <c:spPr>
              <a:solidFill>
                <a:srgbClr val="FFED51"/>
              </a:solidFill>
            </c:spPr>
          </c:dPt>
          <c:dPt>
            <c:idx val="233"/>
            <c:spPr>
              <a:solidFill>
                <a:srgbClr val="83AD50"/>
              </a:solidFill>
            </c:spPr>
          </c:dPt>
          <c:dPt>
            <c:idx val="234"/>
            <c:spPr>
              <a:solidFill>
                <a:srgbClr val="E51875"/>
              </a:solidFill>
            </c:spPr>
          </c:dPt>
          <c:dPt>
            <c:idx val="235"/>
            <c:spPr>
              <a:solidFill>
                <a:srgbClr val="E0DB70"/>
              </a:solidFill>
            </c:spPr>
          </c:dPt>
          <c:dPt>
            <c:idx val="236"/>
            <c:spPr>
              <a:solidFill>
                <a:srgbClr val="2ACC7D"/>
              </a:solidFill>
            </c:spPr>
          </c:dPt>
          <c:dPt>
            <c:idx val="237"/>
            <c:spPr>
              <a:solidFill>
                <a:srgbClr val="7BA22F"/>
              </a:solidFill>
            </c:spPr>
          </c:dPt>
          <c:dPt>
            <c:idx val="238"/>
            <c:spPr>
              <a:solidFill>
                <a:srgbClr val="FF199D"/>
              </a:solidFill>
            </c:spPr>
          </c:dPt>
          <c:dPt>
            <c:idx val="239"/>
            <c:spPr>
              <a:solidFill>
                <a:srgbClr val="BBC161"/>
              </a:solidFill>
            </c:spPr>
          </c:dPt>
          <c:dPt>
            <c:idx val="240"/>
            <c:spPr>
              <a:solidFill>
                <a:srgbClr val="1E3D78"/>
              </a:solidFill>
            </c:spPr>
          </c:dPt>
          <c:dPt>
            <c:idx val="241"/>
            <c:spPr>
              <a:solidFill>
                <a:srgbClr val="E613AD"/>
              </a:solidFill>
            </c:spPr>
          </c:dPt>
          <c:dPt>
            <c:idx val="242"/>
            <c:spPr>
              <a:solidFill>
                <a:srgbClr val="2BE0C8"/>
              </a:solidFill>
            </c:spPr>
          </c:dPt>
          <c:dPt>
            <c:idx val="243"/>
            <c:spPr>
              <a:solidFill>
                <a:srgbClr val="B8BC63"/>
              </a:solidFill>
            </c:spPr>
          </c:dPt>
          <c:dPt>
            <c:idx val="244"/>
            <c:spPr>
              <a:solidFill>
                <a:srgbClr val="FF45E9"/>
              </a:solidFill>
            </c:spPr>
          </c:dPt>
          <c:dPt>
            <c:idx val="245"/>
            <c:spPr>
              <a:solidFill>
                <a:srgbClr val="F2D572"/>
              </a:solidFill>
            </c:spPr>
          </c:dPt>
          <c:dPt>
            <c:idx val="246"/>
            <c:spPr>
              <a:solidFill>
                <a:srgbClr val="57627B"/>
              </a:solidFill>
            </c:spPr>
          </c:dPt>
          <c:dPt>
            <c:idx val="247"/>
            <c:spPr>
              <a:solidFill>
                <a:srgbClr val="EC4BEA"/>
              </a:solidFill>
            </c:spPr>
          </c:dPt>
          <c:dPt>
            <c:idx val="248"/>
            <c:spPr>
              <a:solidFill>
                <a:srgbClr val="2CF413"/>
              </a:solidFill>
            </c:spPr>
          </c:dPt>
          <c:dPt>
            <c:idx val="249"/>
            <c:spPr>
              <a:solidFill>
                <a:srgbClr val="F5D697"/>
              </a:solidFill>
            </c:spPr>
          </c:dPt>
          <c:dPt>
            <c:idx val="250"/>
            <c:spPr>
              <a:solidFill>
                <a:srgbClr val="FF7135"/>
              </a:solidFill>
            </c:spPr>
          </c:dPt>
          <c:dPt>
            <c:idx val="251"/>
            <c:spPr>
              <a:solidFill>
                <a:srgbClr val="2AE983"/>
              </a:solidFill>
            </c:spPr>
          </c:dPt>
          <c:dPt>
            <c:idx val="252"/>
            <c:spPr>
              <a:solidFill>
                <a:srgbClr val="8F867F"/>
              </a:solidFill>
            </c:spPr>
          </c:dPt>
          <c:dPt>
            <c:idx val="253"/>
            <c:spPr>
              <a:solidFill>
                <a:srgbClr val="F38426"/>
              </a:solidFill>
            </c:spPr>
          </c:dPt>
          <c:dPt>
            <c:idx val="254"/>
            <c:spPr>
              <a:solidFill>
                <a:srgbClr val="2D085F"/>
              </a:solidFill>
            </c:spPr>
          </c:dPt>
          <c:dPt>
            <c:idx val="255"/>
            <c:spPr>
              <a:solidFill>
                <a:srgbClr val="32F0CA"/>
              </a:solidFill>
            </c:spPr>
          </c:dPt>
          <c:dPt>
            <c:idx val="256"/>
            <c:spPr>
              <a:solidFill>
                <a:srgbClr val="FF9D81"/>
              </a:solidFill>
            </c:spPr>
          </c:dPt>
          <c:dPt>
            <c:idx val="257"/>
            <c:spPr>
              <a:solidFill>
                <a:srgbClr val="61FD94"/>
              </a:solidFill>
            </c:spPr>
          </c:dPt>
          <c:dPt>
            <c:idx val="258"/>
            <c:spPr>
              <a:solidFill>
                <a:srgbClr val="C8AB82"/>
              </a:solidFill>
            </c:spPr>
          </c:dPt>
          <c:dPt>
            <c:idx val="259"/>
            <c:spPr>
              <a:solidFill>
                <a:srgbClr val="F9BC63"/>
              </a:solidFill>
            </c:spPr>
          </c:dPt>
          <c:dPt>
            <c:idx val="260"/>
            <c:spPr>
              <a:solidFill>
                <a:srgbClr val="2F1CAA"/>
              </a:solidFill>
            </c:spPr>
          </c:dPt>
          <c:dPt>
            <c:idx val="261"/>
            <c:spPr>
              <a:solidFill>
                <a:srgbClr val="6F0AFE"/>
              </a:solidFill>
            </c:spPr>
          </c:dPt>
          <c:dPt>
            <c:idx val="262"/>
            <c:spPr>
              <a:solidFill>
                <a:srgbClr val="FFC8CE"/>
              </a:solidFill>
            </c:spPr>
          </c:dPt>
          <c:dPt>
            <c:idx val="263"/>
            <c:spPr>
              <a:solidFill>
                <a:srgbClr val="9910A5"/>
              </a:solidFill>
            </c:spPr>
          </c:dPt>
          <c:dPt>
            <c:idx val="264"/>
            <c:spPr>
              <a:solidFill>
                <a:srgbClr val="01CF85"/>
              </a:solidFill>
            </c:spPr>
          </c:dPt>
          <c:dPt>
            <c:idx val="265"/>
            <c:spPr>
              <a:solidFill>
                <a:srgbClr val="FFF59F"/>
              </a:solidFill>
            </c:spPr>
          </c:dPt>
          <c:dPt>
            <c:idx val="266"/>
            <c:spPr>
              <a:solidFill>
                <a:srgbClr val="3030F5"/>
              </a:solidFill>
            </c:spPr>
          </c:dPt>
          <c:dPt>
            <c:idx val="267"/>
            <c:spPr>
              <a:solidFill>
                <a:srgbClr val="AC2431"/>
              </a:solidFill>
            </c:spPr>
          </c:dPt>
          <c:dPt>
            <c:idx val="268"/>
            <c:spPr>
              <a:solidFill>
                <a:srgbClr val="FFF41A"/>
              </a:solidFill>
            </c:spPr>
          </c:dPt>
          <c:dPt>
            <c:idx val="269"/>
            <c:spPr>
              <a:solidFill>
                <a:srgbClr val="D024B6"/>
              </a:solidFill>
            </c:spPr>
          </c:dPt>
          <c:dPt>
            <c:idx val="270"/>
            <c:spPr>
              <a:solidFill>
                <a:srgbClr val="3AF489"/>
              </a:solidFill>
            </c:spPr>
          </c:dPt>
          <c:dPt>
            <c:idx val="271"/>
            <c:spPr>
              <a:solidFill>
                <a:srgbClr val="062DDC"/>
              </a:solidFill>
            </c:spPr>
          </c:dPt>
          <c:dPt>
            <c:idx val="272"/>
            <c:spPr>
              <a:solidFill>
                <a:srgbClr val="314541"/>
              </a:solidFill>
            </c:spPr>
          </c:dPt>
          <c:dPt>
            <c:idx val="273"/>
            <c:spPr>
              <a:solidFill>
                <a:srgbClr val="E93F65"/>
              </a:solidFill>
            </c:spPr>
          </c:dPt>
          <c:dPt>
            <c:idx val="274"/>
            <c:spPr>
              <a:solidFill>
                <a:srgbClr val="FF2066"/>
              </a:solidFill>
            </c:spPr>
          </c:dPt>
          <c:dPt>
            <c:idx val="275"/>
            <c:spPr>
              <a:solidFill>
                <a:srgbClr val="0838C8"/>
              </a:solidFill>
            </c:spPr>
          </c:dPt>
          <c:dPt>
            <c:idx val="276"/>
            <c:spPr>
              <a:solidFill>
                <a:srgbClr val="72198C"/>
              </a:solidFill>
            </c:spPr>
          </c:dPt>
          <c:dPt>
            <c:idx val="277"/>
            <c:spPr>
              <a:solidFill>
                <a:srgbClr val="0C6519"/>
              </a:solidFill>
            </c:spPr>
          </c:dPt>
          <c:dPt>
            <c:idx val="278"/>
            <c:spPr>
              <a:solidFill>
                <a:srgbClr val="32598C"/>
              </a:solidFill>
            </c:spPr>
          </c:dPt>
          <c:dPt>
            <c:idx val="279"/>
            <c:spPr>
              <a:solidFill>
                <a:srgbClr val="255999"/>
              </a:solidFill>
            </c:spPr>
          </c:dPt>
          <c:dPt>
            <c:idx val="280"/>
            <c:spPr>
              <a:solidFill>
                <a:srgbClr val="FF4CB2"/>
              </a:solidFill>
            </c:spPr>
          </c:dPt>
          <c:dPt>
            <c:idx val="281"/>
            <c:spPr>
              <a:solidFill>
                <a:srgbClr val="3F4CD9"/>
              </a:solidFill>
            </c:spPr>
          </c:dPt>
          <c:dPt>
            <c:idx val="282"/>
            <c:spPr>
              <a:solidFill>
                <a:srgbClr val="AB3D8F"/>
              </a:solidFill>
            </c:spPr>
          </c:dPt>
          <c:dPt>
            <c:idx val="283"/>
            <c:spPr>
              <a:solidFill>
                <a:srgbClr val="129E55"/>
              </a:solidFill>
            </c:spPr>
          </c:dPt>
          <c:dPt>
            <c:idx val="284"/>
            <c:spPr>
              <a:solidFill>
                <a:srgbClr val="336DD7"/>
              </a:solidFill>
            </c:spPr>
          </c:dPt>
          <c:dPt>
            <c:idx val="285"/>
            <c:spPr>
              <a:solidFill>
                <a:srgbClr val="6273CC"/>
              </a:solidFill>
            </c:spPr>
          </c:dPt>
          <c:dPt>
            <c:idx val="286"/>
            <c:spPr>
              <a:solidFill>
                <a:srgbClr val="FF78FE"/>
              </a:solidFill>
            </c:spPr>
          </c:dPt>
          <c:dPt>
            <c:idx val="287"/>
            <c:spPr>
              <a:solidFill>
                <a:srgbClr val="7760EA"/>
              </a:solidFill>
            </c:spPr>
          </c:dPt>
          <c:dPt>
            <c:idx val="288"/>
            <c:spPr>
              <a:solidFill>
                <a:srgbClr val="E46292"/>
              </a:solidFill>
            </c:spPr>
          </c:dPt>
          <c:dPt>
            <c:idx val="289"/>
            <c:spPr>
              <a:solidFill>
                <a:srgbClr val="18D692"/>
              </a:solidFill>
            </c:spPr>
          </c:dPt>
          <c:dPt>
            <c:idx val="290"/>
            <c:spPr>
              <a:solidFill>
                <a:srgbClr val="358122"/>
              </a:solidFill>
            </c:spPr>
          </c:dPt>
          <c:dPt>
            <c:idx val="291"/>
            <c:spPr>
              <a:solidFill>
                <a:srgbClr val="9F8D00"/>
              </a:solidFill>
            </c:spPr>
          </c:dPt>
          <c:dPt>
            <c:idx val="292"/>
            <c:spPr>
              <a:solidFill>
                <a:srgbClr val="FFA34B"/>
              </a:solidFill>
            </c:spPr>
          </c:dPt>
          <c:dPt>
            <c:idx val="293"/>
            <c:spPr>
              <a:solidFill>
                <a:srgbClr val="AE73FB"/>
              </a:solidFill>
            </c:spPr>
          </c:dPt>
          <c:dPt>
            <c:idx val="294"/>
            <c:spPr>
              <a:solidFill>
                <a:srgbClr val="1C8696"/>
              </a:solidFill>
            </c:spPr>
          </c:dPt>
          <c:dPt>
            <c:idx val="295"/>
            <c:spPr>
              <a:solidFill>
                <a:srgbClr val="1F0FCE"/>
              </a:solidFill>
            </c:spPr>
          </c:dPt>
          <c:dPt>
            <c:idx val="296"/>
            <c:spPr>
              <a:solidFill>
                <a:srgbClr val="36956E"/>
              </a:solidFill>
            </c:spPr>
          </c:dPt>
          <c:dPt>
            <c:idx val="297"/>
            <c:spPr>
              <a:solidFill>
                <a:srgbClr val="DCA733"/>
              </a:solidFill>
            </c:spPr>
          </c:dPt>
          <c:dPt>
            <c:idx val="298"/>
            <c:spPr>
              <a:solidFill>
                <a:srgbClr val="FFCF97"/>
              </a:solidFill>
            </c:spPr>
          </c:dPt>
          <c:dPt>
            <c:idx val="299"/>
            <c:spPr>
              <a:solidFill>
                <a:srgbClr val="E6870C"/>
              </a:solidFill>
            </c:spPr>
          </c:dPt>
          <c:dPt>
            <c:idx val="300"/>
            <c:spPr>
              <a:solidFill>
                <a:srgbClr val="55AB99"/>
              </a:solidFill>
            </c:spPr>
          </c:dPt>
          <c:dPt>
            <c:idx val="301"/>
            <c:spPr>
              <a:solidFill>
                <a:srgbClr val="25470B"/>
              </a:solidFill>
            </c:spPr>
          </c:dPt>
          <c:dPt>
            <c:idx val="302"/>
            <c:spPr>
              <a:solidFill>
                <a:srgbClr val="37A9B9"/>
              </a:solidFill>
            </c:spPr>
          </c:dPt>
          <c:dPt>
            <c:idx val="303"/>
            <c:spPr>
              <a:solidFill>
                <a:srgbClr val="19C167"/>
              </a:solidFill>
            </c:spPr>
          </c:dPt>
          <c:dPt>
            <c:idx val="304"/>
            <c:spPr>
              <a:solidFill>
                <a:srgbClr val="FFFBE3"/>
              </a:solidFill>
            </c:spPr>
          </c:dPt>
          <c:dPt>
            <c:idx val="305"/>
            <c:spPr>
              <a:solidFill>
                <a:srgbClr val="1D9B1D"/>
              </a:solidFill>
            </c:spPr>
          </c:dPt>
          <c:dPt>
            <c:idx val="306"/>
            <c:spPr>
              <a:solidFill>
                <a:srgbClr val="8ED09C"/>
              </a:solidFill>
            </c:spPr>
          </c:dPt>
          <c:dPt>
            <c:idx val="307"/>
            <c:spPr>
              <a:solidFill>
                <a:srgbClr val="2B7F48"/>
              </a:solidFill>
            </c:spPr>
          </c:dPt>
          <c:dPt>
            <c:idx val="308"/>
            <c:spPr>
              <a:solidFill>
                <a:srgbClr val="38BD04"/>
              </a:solidFill>
            </c:spPr>
          </c:dPt>
          <c:dPt>
            <c:idx val="309"/>
            <c:spPr>
              <a:solidFill>
                <a:srgbClr val="56DB9B"/>
              </a:solidFill>
            </c:spPr>
          </c:dPt>
          <c:dPt>
            <c:idx val="310"/>
            <c:spPr>
              <a:solidFill>
                <a:srgbClr val="FF272F"/>
              </a:solidFill>
            </c:spPr>
          </c:dPt>
          <c:dPt>
            <c:idx val="311"/>
            <c:spPr>
              <a:solidFill>
                <a:srgbClr val="55AF2E"/>
              </a:solidFill>
            </c:spPr>
          </c:dPt>
          <c:dPt>
            <c:idx val="312"/>
            <c:spPr>
              <a:solidFill>
                <a:srgbClr val="C6F4A0"/>
              </a:solidFill>
            </c:spPr>
          </c:dPt>
          <c:dPt>
            <c:idx val="313"/>
            <c:spPr>
              <a:solidFill>
                <a:srgbClr val="32B884"/>
              </a:solidFill>
            </c:spPr>
          </c:dPt>
          <c:dPt>
            <c:idx val="314"/>
            <c:spPr>
              <a:solidFill>
                <a:srgbClr val="39D150"/>
              </a:solidFill>
            </c:spPr>
          </c:dPt>
          <c:dPt>
            <c:idx val="315"/>
            <c:spPr>
              <a:solidFill>
                <a:srgbClr val="93F5CE"/>
              </a:solidFill>
            </c:spPr>
          </c:dPt>
          <c:dPt>
            <c:idx val="316"/>
            <c:spPr>
              <a:solidFill>
                <a:srgbClr val="FF537B"/>
              </a:solidFill>
            </c:spPr>
          </c:dPt>
          <c:dPt>
            <c:idx val="317"/>
            <c:spPr>
              <a:solidFill>
                <a:srgbClr val="8CC33F"/>
              </a:solidFill>
            </c:spPr>
          </c:dPt>
          <c:dPt>
            <c:idx val="318"/>
            <c:spPr>
              <a:solidFill>
                <a:srgbClr val="FF19A3"/>
              </a:solidFill>
            </c:spPr>
          </c:dPt>
          <c:dPt>
            <c:idx val="319"/>
            <c:spPr>
              <a:solidFill>
                <a:srgbClr val="38F0C1"/>
              </a:solidFill>
            </c:spPr>
          </c:dPt>
          <c:dPt>
            <c:idx val="320"/>
            <c:spPr>
              <a:solidFill>
                <a:srgbClr val="3BE59B"/>
              </a:solidFill>
            </c:spPr>
          </c:dPt>
          <c:dPt>
            <c:idx val="321"/>
            <c:spPr>
              <a:solidFill>
                <a:srgbClr val="D00F02"/>
              </a:solidFill>
            </c:spPr>
          </c:dPt>
          <c:dPt>
            <c:idx val="322"/>
            <c:spPr>
              <a:solidFill>
                <a:srgbClr val="FF7EC8"/>
              </a:solidFill>
            </c:spPr>
          </c:dPt>
          <c:dPt>
            <c:idx val="323"/>
            <c:spPr>
              <a:solidFill>
                <a:srgbClr val="C4D650"/>
              </a:solidFill>
            </c:spPr>
          </c:dPt>
          <c:dPt>
            <c:idx val="324"/>
            <c:spPr>
              <a:solidFill>
                <a:srgbClr val="383DA6"/>
              </a:solidFill>
            </c:spPr>
          </c:dPt>
          <c:dPt>
            <c:idx val="325"/>
            <c:spPr>
              <a:solidFill>
                <a:srgbClr val="3E29FD"/>
              </a:solidFill>
            </c:spPr>
          </c:dPt>
          <c:dPt>
            <c:idx val="326"/>
            <c:spPr>
              <a:solidFill>
                <a:srgbClr val="3CF9E6"/>
              </a:solidFill>
            </c:spPr>
          </c:dPt>
          <c:dPt>
            <c:idx val="327"/>
            <c:spPr>
              <a:solidFill>
                <a:srgbClr val="0D2935"/>
              </a:solidFill>
            </c:spPr>
          </c:dPt>
          <c:dPt>
            <c:idx val="328"/>
            <c:spPr>
              <a:solidFill>
                <a:srgbClr val="FFAA14"/>
              </a:solidFill>
            </c:spPr>
          </c:dPt>
          <c:dPt>
            <c:idx val="329"/>
            <c:spPr>
              <a:solidFill>
                <a:srgbClr val="FBEA61"/>
              </a:solidFill>
            </c:spPr>
          </c:dPt>
          <c:dPt>
            <c:idx val="330"/>
            <c:spPr>
              <a:solidFill>
                <a:srgbClr val="7162AA"/>
              </a:solidFill>
            </c:spPr>
          </c:dPt>
          <c:dPt>
            <c:idx val="331"/>
            <c:spPr>
              <a:solidFill>
                <a:srgbClr val="45613A"/>
              </a:solidFill>
            </c:spPr>
          </c:dPt>
          <c:dPt>
            <c:idx val="332"/>
            <c:spPr>
              <a:solidFill>
                <a:srgbClr val="3D0E32"/>
              </a:solidFill>
            </c:spPr>
          </c:dPt>
          <c:dPt>
            <c:idx val="333"/>
            <c:spPr>
              <a:solidFill>
                <a:srgbClr val="4A4469"/>
              </a:solidFill>
            </c:spPr>
          </c:dPt>
          <c:dPt>
            <c:idx val="334"/>
            <c:spPr>
              <a:solidFill>
                <a:srgbClr val="FFD660"/>
              </a:solidFill>
            </c:spPr>
          </c:dPt>
          <c:dPt>
            <c:idx val="335"/>
            <c:spPr>
              <a:solidFill>
                <a:srgbClr val="33FE73"/>
              </a:solidFill>
            </c:spPr>
          </c:dPt>
          <c:dPt>
            <c:idx val="336"/>
            <c:spPr>
              <a:solidFill>
                <a:srgbClr val="A987AD"/>
              </a:solidFill>
            </c:spPr>
          </c:dPt>
          <c:dPt>
            <c:idx val="337"/>
            <c:spPr>
              <a:solidFill>
                <a:srgbClr val="4B9977"/>
              </a:solidFill>
            </c:spPr>
          </c:dPt>
          <c:dPt>
            <c:idx val="338"/>
            <c:spPr>
              <a:solidFill>
                <a:srgbClr val="3E227D"/>
              </a:solidFill>
            </c:spPr>
          </c:dPt>
          <c:dPt>
            <c:idx val="339"/>
            <c:spPr>
              <a:solidFill>
                <a:srgbClr val="865E9D"/>
              </a:solidFill>
            </c:spPr>
          </c:dPt>
          <c:dPt>
            <c:idx val="340"/>
            <c:spPr>
              <a:solidFill>
                <a:srgbClr val="FF02AC"/>
              </a:solidFill>
            </c:spPr>
          </c:dPt>
          <c:dPt>
            <c:idx val="341"/>
            <c:spPr>
              <a:solidFill>
                <a:srgbClr val="6A1284"/>
              </a:solidFill>
            </c:spPr>
          </c:dPt>
          <c:dPt>
            <c:idx val="342"/>
            <c:spPr>
              <a:solidFill>
                <a:srgbClr val="E2ABB0"/>
              </a:solidFill>
            </c:spPr>
          </c:dPt>
          <c:dPt>
            <c:idx val="343"/>
            <c:spPr>
              <a:solidFill>
                <a:srgbClr val="51D2B3"/>
              </a:solidFill>
            </c:spPr>
          </c:dPt>
          <c:dPt>
            <c:idx val="344"/>
            <c:spPr>
              <a:solidFill>
                <a:srgbClr val="3F36C8"/>
              </a:solidFill>
            </c:spPr>
          </c:dPt>
          <c:dPt>
            <c:idx val="345"/>
            <c:spPr>
              <a:solidFill>
                <a:srgbClr val="C378D0"/>
              </a:solidFill>
            </c:spPr>
          </c:dPt>
          <c:dPt>
            <c:idx val="346"/>
            <c:spPr>
              <a:solidFill>
                <a:srgbClr val="FF2EF8"/>
              </a:solidFill>
            </c:spPr>
          </c:dPt>
          <c:dPt>
            <c:idx val="347"/>
            <c:spPr>
              <a:solidFill>
                <a:srgbClr val="A22695"/>
              </a:solidFill>
            </c:spPr>
          </c:dPt>
          <c:dPt>
            <c:idx val="348"/>
            <c:spPr>
              <a:solidFill>
                <a:srgbClr val="1BD0B3"/>
              </a:solidFill>
            </c:spPr>
          </c:dPt>
          <c:dPt>
            <c:idx val="349"/>
            <c:spPr>
              <a:solidFill>
                <a:srgbClr val="570AF0"/>
              </a:solidFill>
            </c:spPr>
          </c:dPt>
          <c:dPt>
            <c:idx val="350"/>
            <c:spPr>
              <a:solidFill>
                <a:srgbClr val="414A13"/>
              </a:solidFill>
            </c:spPr>
          </c:dPt>
          <c:dPt>
            <c:idx val="351"/>
            <c:spPr>
              <a:solidFill>
                <a:srgbClr val="009204"/>
              </a:solidFill>
            </c:spPr>
          </c:dPt>
          <c:dPt>
            <c:idx val="352"/>
            <c:spPr>
              <a:solidFill>
                <a:srgbClr val="FF5945"/>
              </a:solidFill>
            </c:spPr>
          </c:dPt>
          <c:dPt>
            <c:idx val="353"/>
            <c:spPr>
              <a:solidFill>
                <a:srgbClr val="D939A6"/>
              </a:solidFill>
            </c:spPr>
          </c:dPt>
          <c:dPt>
            <c:idx val="354"/>
            <c:spPr>
              <a:solidFill>
                <a:srgbClr val="53F4B7"/>
              </a:solidFill>
            </c:spPr>
          </c:dPt>
          <c:dPt>
            <c:idx val="355"/>
            <c:spPr>
              <a:solidFill>
                <a:srgbClr val="5E432C"/>
              </a:solidFill>
            </c:spPr>
          </c:dPt>
          <c:dPt>
            <c:idx val="356"/>
            <c:spPr>
              <a:solidFill>
                <a:srgbClr val="425E5F"/>
              </a:solidFill>
            </c:spPr>
          </c:dPt>
          <c:dPt>
            <c:idx val="357"/>
            <c:spPr>
              <a:solidFill>
                <a:srgbClr val="3DAC37"/>
              </a:solidFill>
            </c:spPr>
          </c:dPt>
          <c:dPt>
            <c:idx val="358"/>
            <c:spPr>
              <a:solidFill>
                <a:srgbClr val="FF8591"/>
              </a:solidFill>
            </c:spPr>
          </c:dPt>
          <c:dPt>
            <c:idx val="359"/>
            <c:spPr>
              <a:solidFill>
                <a:srgbClr val="114DB7"/>
              </a:solidFill>
            </c:spPr>
          </c:dPt>
          <c:dPt>
            <c:idx val="360"/>
            <c:spPr>
              <a:solidFill>
                <a:srgbClr val="8C19BA"/>
              </a:solidFill>
            </c:spPr>
          </c:dPt>
          <c:dPt>
            <c:idx val="361"/>
            <c:spPr>
              <a:solidFill>
                <a:srgbClr val="647B69"/>
              </a:solidFill>
            </c:spPr>
          </c:dPt>
          <c:dPt>
            <c:idx val="362"/>
            <c:spPr>
              <a:solidFill>
                <a:srgbClr val="4372AA"/>
              </a:solidFill>
            </c:spPr>
          </c:dPt>
          <c:dPt>
            <c:idx val="363"/>
            <c:spPr>
              <a:solidFill>
                <a:srgbClr val="7AC66B"/>
              </a:solidFill>
            </c:spPr>
          </c:dPt>
          <c:dPt>
            <c:idx val="364"/>
            <c:spPr>
              <a:solidFill>
                <a:srgbClr val="FFB1DD"/>
              </a:solidFill>
            </c:spPr>
          </c:dPt>
          <c:dPt>
            <c:idx val="365"/>
            <c:spPr>
              <a:solidFill>
                <a:srgbClr val="4861C8"/>
              </a:solidFill>
            </c:spPr>
          </c:dPt>
          <c:dPt>
            <c:idx val="366"/>
            <c:spPr>
              <a:solidFill>
                <a:srgbClr val="C53EBD"/>
              </a:solidFill>
            </c:spPr>
          </c:dPt>
          <c:dPt>
            <c:idx val="367"/>
            <c:spPr>
              <a:solidFill>
                <a:srgbClr val="6AB3A6"/>
              </a:solidFill>
            </c:spPr>
          </c:dPt>
          <c:dPt>
            <c:idx val="368"/>
            <c:spPr>
              <a:solidFill>
                <a:srgbClr val="4486F5"/>
              </a:solidFill>
            </c:spPr>
          </c:dPt>
          <c:dPt>
            <c:idx val="369"/>
            <c:spPr>
              <a:solidFill>
                <a:srgbClr val="B7E09F"/>
              </a:solidFill>
            </c:spPr>
          </c:dPt>
          <c:dPt>
            <c:idx val="370"/>
            <c:spPr>
              <a:solidFill>
                <a:srgbClr val="FFDD29"/>
              </a:solidFill>
            </c:spPr>
          </c:dPt>
          <c:dPt>
            <c:idx val="371"/>
            <c:spPr>
              <a:solidFill>
                <a:srgbClr val="7F75D9"/>
              </a:solidFill>
            </c:spPr>
          </c:dPt>
          <c:dPt>
            <c:idx val="372"/>
            <c:spPr>
              <a:solidFill>
                <a:srgbClr val="FD62C1"/>
              </a:solidFill>
            </c:spPr>
          </c:dPt>
          <c:dPt>
            <c:idx val="373"/>
            <c:spPr>
              <a:solidFill>
                <a:srgbClr val="71ECE2"/>
              </a:solidFill>
            </c:spPr>
          </c:dPt>
          <c:dPt>
            <c:idx val="374"/>
            <c:spPr>
              <a:solidFill>
                <a:srgbClr val="459A41"/>
              </a:solidFill>
            </c:spPr>
          </c:dPt>
          <c:dPt>
            <c:idx val="375"/>
            <c:spPr>
              <a:solidFill>
                <a:srgbClr val="F4FAD2"/>
              </a:solidFill>
            </c:spPr>
          </c:dPt>
          <c:dPt>
            <c:idx val="376"/>
            <c:spPr>
              <a:solidFill>
                <a:srgbClr val="FF0975"/>
              </a:solidFill>
            </c:spPr>
          </c:dPt>
          <c:dPt>
            <c:idx val="377"/>
            <c:spPr>
              <a:solidFill>
                <a:srgbClr val="B789EA"/>
              </a:solidFill>
            </c:spPr>
          </c:dPt>
          <c:dPt>
            <c:idx val="378"/>
            <c:spPr>
              <a:solidFill>
                <a:srgbClr val="3687C4"/>
              </a:solidFill>
            </c:spPr>
          </c:dPt>
          <c:dPt>
            <c:idx val="379"/>
            <c:spPr>
              <a:solidFill>
                <a:srgbClr val="77241F"/>
              </a:solidFill>
            </c:spPr>
          </c:dPt>
          <c:dPt>
            <c:idx val="380"/>
            <c:spPr>
              <a:solidFill>
                <a:srgbClr val="47AE8C"/>
              </a:solidFill>
            </c:spPr>
          </c:dPt>
          <c:dPt>
            <c:idx val="381"/>
            <c:spPr>
              <a:solidFill>
                <a:srgbClr val="311406"/>
              </a:solidFill>
            </c:spPr>
          </c:dPt>
          <c:dPt>
            <c:idx val="382"/>
            <c:spPr>
              <a:solidFill>
                <a:srgbClr val="FF34C2"/>
              </a:solidFill>
            </c:spPr>
          </c:dPt>
          <c:dPt>
            <c:idx val="383"/>
            <c:spPr>
              <a:solidFill>
                <a:srgbClr val="EF9CFB"/>
              </a:solidFill>
            </c:spPr>
          </c:dPt>
          <c:dPt>
            <c:idx val="384"/>
            <c:spPr>
              <a:solidFill>
                <a:srgbClr val="6FABC7"/>
              </a:solidFill>
            </c:spPr>
          </c:dPt>
          <c:dPt>
            <c:idx val="385"/>
            <c:spPr>
              <a:solidFill>
                <a:srgbClr val="7D5D5B"/>
              </a:solidFill>
            </c:spPr>
          </c:dPt>
          <c:dPt>
            <c:idx val="386"/>
            <c:spPr>
              <a:solidFill>
                <a:srgbClr val="48C2D7"/>
              </a:solidFill>
            </c:spPr>
          </c:dPt>
          <c:dPt>
            <c:idx val="387"/>
            <c:spPr>
              <a:solidFill>
                <a:srgbClr val="6E2E39"/>
              </a:solidFill>
            </c:spPr>
          </c:dPt>
          <c:dPt>
            <c:idx val="388"/>
            <c:spPr>
              <a:solidFill>
                <a:srgbClr val="FF600E"/>
              </a:solidFill>
            </c:spPr>
          </c:dPt>
          <c:dPt>
            <c:idx val="389"/>
            <c:spPr>
              <a:solidFill>
                <a:srgbClr val="26B00C"/>
              </a:solidFill>
            </c:spPr>
          </c:dPt>
          <c:dPt>
            <c:idx val="390"/>
            <c:spPr>
              <a:solidFill>
                <a:srgbClr val="A8D0CB"/>
              </a:solidFill>
            </c:spPr>
          </c:dPt>
          <c:dPt>
            <c:idx val="391"/>
            <c:spPr>
              <a:solidFill>
                <a:srgbClr val="849598"/>
              </a:solidFill>
            </c:spPr>
          </c:dPt>
          <c:dPt>
            <c:idx val="392"/>
            <c:spPr>
              <a:solidFill>
                <a:srgbClr val="49D723"/>
              </a:solidFill>
            </c:spPr>
          </c:dPt>
          <c:dPt>
            <c:idx val="393"/>
            <c:spPr>
              <a:solidFill>
                <a:srgbClr val="AB496D"/>
              </a:solidFill>
            </c:spPr>
          </c:dPt>
          <c:dPt>
            <c:idx val="394"/>
            <c:spPr>
              <a:solidFill>
                <a:srgbClr val="FF8C5A"/>
              </a:solidFill>
            </c:spPr>
          </c:dPt>
          <c:dPt>
            <c:idx val="395"/>
            <c:spPr>
              <a:solidFill>
                <a:srgbClr val="5EC41E"/>
              </a:solidFill>
            </c:spPr>
          </c:dPt>
          <c:dPt>
            <c:idx val="396"/>
            <c:spPr>
              <a:solidFill>
                <a:srgbClr val="E0F5CE"/>
              </a:solidFill>
            </c:spPr>
          </c:dPt>
          <c:dPt>
            <c:idx val="397"/>
            <c:spPr>
              <a:solidFill>
                <a:srgbClr val="8ACDD5"/>
              </a:solidFill>
            </c:spPr>
          </c:dPt>
          <c:dPt>
            <c:idx val="398"/>
            <c:spPr>
              <a:solidFill>
                <a:srgbClr val="4AEB6E"/>
              </a:solidFill>
            </c:spPr>
          </c:dPt>
          <c:dPt>
            <c:idx val="399"/>
            <c:spPr>
              <a:solidFill>
                <a:srgbClr val="E763A1"/>
              </a:solidFill>
            </c:spPr>
          </c:dPt>
          <c:dPt>
            <c:idx val="400"/>
            <c:spPr>
              <a:solidFill>
                <a:srgbClr val="FFB8A6"/>
              </a:solidFill>
            </c:spPr>
          </c:dPt>
          <c:dPt>
            <c:idx val="401"/>
            <c:spPr>
              <a:solidFill>
                <a:srgbClr val="95D82F"/>
              </a:solidFill>
            </c:spPr>
          </c:dPt>
          <c:dPt>
            <c:idx val="402"/>
            <c:spPr>
              <a:solidFill>
                <a:srgbClr val="1919D1"/>
              </a:solidFill>
            </c:spPr>
          </c:dPt>
          <c:dPt>
            <c:idx val="403"/>
            <c:spPr>
              <a:solidFill>
                <a:srgbClr val="900611"/>
              </a:solidFill>
            </c:spPr>
          </c:dPt>
          <c:dPt>
            <c:idx val="404"/>
            <c:spPr>
              <a:solidFill>
                <a:srgbClr val="4BFFB9"/>
              </a:solidFill>
            </c:spPr>
          </c:dPt>
          <c:dPt>
            <c:idx val="405"/>
            <c:spPr>
              <a:solidFill>
                <a:srgbClr val="247DD4"/>
              </a:solidFill>
            </c:spPr>
          </c:dPt>
          <c:dPt>
            <c:idx val="406"/>
            <c:spPr>
              <a:solidFill>
                <a:srgbClr val="FFE4F2"/>
              </a:solidFill>
            </c:spPr>
          </c:dPt>
          <c:dPt>
            <c:idx val="407"/>
            <c:spPr>
              <a:solidFill>
                <a:srgbClr val="CDEC40"/>
              </a:solidFill>
            </c:spPr>
          </c:dPt>
          <c:dPt>
            <c:idx val="408"/>
            <c:spPr>
              <a:solidFill>
                <a:srgbClr val="523ED4"/>
              </a:solidFill>
            </c:spPr>
          </c:dPt>
          <c:dPt>
            <c:idx val="409"/>
            <c:spPr>
              <a:solidFill>
                <a:srgbClr val="963E4E"/>
              </a:solidFill>
            </c:spPr>
          </c:dPt>
          <c:dPt>
            <c:idx val="410"/>
            <c:spPr>
              <a:solidFill>
                <a:srgbClr val="4D1304"/>
              </a:solidFill>
            </c:spPr>
          </c:dPt>
          <c:dPt>
            <c:idx val="411"/>
            <c:spPr>
              <a:solidFill>
                <a:srgbClr val="619708"/>
              </a:solidFill>
            </c:spPr>
          </c:dPt>
          <c:dPt>
            <c:idx val="412"/>
            <c:spPr>
              <a:solidFill>
                <a:srgbClr val="FF0F3F"/>
              </a:solidFill>
            </c:spPr>
          </c:dPt>
          <c:dPt>
            <c:idx val="413"/>
            <c:spPr>
              <a:solidFill>
                <a:srgbClr val="04FF51"/>
              </a:solidFill>
            </c:spPr>
          </c:dPt>
          <c:dPt>
            <c:idx val="414"/>
            <c:spPr>
              <a:solidFill>
                <a:srgbClr val="8A62D8"/>
              </a:solidFill>
            </c:spPr>
          </c:dPt>
          <c:dPt>
            <c:idx val="415"/>
            <c:spPr>
              <a:solidFill>
                <a:srgbClr val="9D778A"/>
              </a:solidFill>
            </c:spPr>
          </c:dPt>
          <c:dPt>
            <c:idx val="416"/>
            <c:spPr>
              <a:solidFill>
                <a:srgbClr val="4E2750"/>
              </a:solidFill>
            </c:spPr>
          </c:dPt>
          <c:dPt>
            <c:idx val="417"/>
            <c:spPr>
              <a:solidFill>
                <a:srgbClr val="9EB13B"/>
              </a:solidFill>
            </c:spPr>
          </c:dPt>
          <c:dPt>
            <c:idx val="418"/>
            <c:spPr>
              <a:solidFill>
                <a:srgbClr val="FF3B8B"/>
              </a:solidFill>
            </c:spPr>
          </c:dPt>
          <c:dPt>
            <c:idx val="419"/>
            <c:spPr>
              <a:solidFill>
                <a:srgbClr val="3C1362"/>
              </a:solidFill>
            </c:spPr>
          </c:dPt>
          <c:dPt>
            <c:idx val="420"/>
            <c:spPr>
              <a:solidFill>
                <a:srgbClr val="C387DB"/>
              </a:solidFill>
            </c:spPr>
          </c:dPt>
          <c:dPt>
            <c:idx val="421"/>
            <c:spPr>
              <a:solidFill>
                <a:srgbClr val="A3AFC7"/>
              </a:solidFill>
            </c:spPr>
          </c:dPt>
          <c:dPt>
            <c:idx val="422"/>
            <c:spPr>
              <a:solidFill>
                <a:srgbClr val="4F3B9B"/>
              </a:solidFill>
            </c:spPr>
          </c:dPt>
          <c:dPt>
            <c:idx val="423"/>
            <c:spPr>
              <a:solidFill>
                <a:srgbClr val="DBCB6F"/>
              </a:solidFill>
            </c:spPr>
          </c:dPt>
          <c:dPt>
            <c:idx val="424"/>
            <c:spPr>
              <a:solidFill>
                <a:srgbClr val="FF67D7"/>
              </a:solidFill>
            </c:spPr>
          </c:dPt>
          <c:dPt>
            <c:idx val="425"/>
            <c:spPr>
              <a:solidFill>
                <a:srgbClr val="732773"/>
              </a:solidFill>
            </c:spPr>
          </c:dPt>
          <c:dPt>
            <c:idx val="426"/>
            <c:spPr>
              <a:solidFill>
                <a:srgbClr val="FCACDE"/>
              </a:solidFill>
            </c:spPr>
          </c:dPt>
          <c:dPt>
            <c:idx val="427"/>
            <c:spPr>
              <a:solidFill>
                <a:srgbClr val="A9E704"/>
              </a:solidFill>
            </c:spPr>
          </c:dPt>
          <c:dPt>
            <c:idx val="428"/>
            <c:spPr>
              <a:solidFill>
                <a:srgbClr val="504FE6"/>
              </a:solidFill>
            </c:spPr>
          </c:dPt>
          <c:dPt>
            <c:idx val="429"/>
            <c:spPr>
              <a:solidFill>
                <a:srgbClr val="18E5A3"/>
              </a:solidFill>
            </c:spPr>
          </c:dPt>
          <c:dPt>
            <c:idx val="430"/>
            <c:spPr>
              <a:solidFill>
                <a:srgbClr val="FF9323"/>
              </a:solidFill>
            </c:spPr>
          </c:dPt>
          <c:dPt>
            <c:idx val="431"/>
            <c:spPr>
              <a:solidFill>
                <a:srgbClr val="AA3B84"/>
              </a:solidFill>
            </c:spPr>
          </c:dPt>
          <c:dPt>
            <c:idx val="432"/>
            <c:spPr>
              <a:solidFill>
                <a:srgbClr val="34D0E2"/>
              </a:solidFill>
            </c:spPr>
          </c:dPt>
          <c:dPt>
            <c:idx val="433"/>
            <c:spPr>
              <a:solidFill>
                <a:srgbClr val="B02040"/>
              </a:solidFill>
            </c:spPr>
          </c:dPt>
          <c:dPt>
            <c:idx val="434"/>
            <c:spPr>
              <a:solidFill>
                <a:srgbClr val="516332"/>
              </a:solidFill>
            </c:spPr>
          </c:dPt>
          <c:dPt>
            <c:idx val="435"/>
            <c:spPr>
              <a:solidFill>
                <a:srgbClr val="55FFD6"/>
              </a:solidFill>
            </c:spPr>
          </c:dPt>
          <c:dPt>
            <c:idx val="436"/>
            <c:spPr>
              <a:solidFill>
                <a:srgbClr val="FFBF6F"/>
              </a:solidFill>
            </c:spPr>
          </c:dPt>
          <c:dPt>
            <c:idx val="437"/>
            <c:spPr>
              <a:solidFill>
                <a:srgbClr val="E24F95"/>
              </a:solidFill>
            </c:spPr>
          </c:dPt>
          <c:dPt>
            <c:idx val="438"/>
            <c:spPr>
              <a:solidFill>
                <a:srgbClr val="6DF5E5"/>
              </a:solidFill>
            </c:spPr>
          </c:dPt>
          <c:dPt>
            <c:idx val="439"/>
            <c:spPr>
              <a:solidFill>
                <a:srgbClr val="B6587D"/>
              </a:solidFill>
            </c:spPr>
          </c:dPt>
          <c:dPt>
            <c:idx val="440"/>
            <c:spPr>
              <a:solidFill>
                <a:srgbClr val="53777D"/>
              </a:solidFill>
            </c:spPr>
          </c:dPt>
          <c:dPt>
            <c:idx val="441"/>
            <c:spPr>
              <a:solidFill>
                <a:srgbClr val="92190A"/>
              </a:solidFill>
            </c:spPr>
          </c:dPt>
          <c:dPt>
            <c:idx val="442"/>
            <c:spPr>
              <a:solidFill>
                <a:srgbClr val="FFEABC"/>
              </a:solidFill>
            </c:spPr>
          </c:dPt>
          <c:dPt>
            <c:idx val="443"/>
            <c:spPr>
              <a:solidFill>
                <a:srgbClr val="1A62A6"/>
              </a:solidFill>
            </c:spPr>
          </c:dPt>
          <c:dPt>
            <c:idx val="444"/>
            <c:spPr>
              <a:solidFill>
                <a:srgbClr val="A619E8"/>
              </a:solidFill>
            </c:spPr>
          </c:dPt>
          <c:dPt>
            <c:idx val="445"/>
            <c:spPr>
              <a:solidFill>
                <a:srgbClr val="BC91B9"/>
              </a:solidFill>
            </c:spPr>
          </c:dPt>
          <c:dPt>
            <c:idx val="446"/>
            <c:spPr>
              <a:solidFill>
                <a:srgbClr val="548BC8"/>
              </a:solidFill>
            </c:spPr>
          </c:dPt>
          <c:dPt>
            <c:idx val="447"/>
            <c:spPr>
              <a:solidFill>
                <a:srgbClr val="CF333D"/>
              </a:solidFill>
            </c:spPr>
          </c:dPt>
          <c:dPt>
            <c:idx val="448"/>
            <c:spPr>
              <a:solidFill>
                <a:srgbClr val="FF1608"/>
              </a:solidFill>
            </c:spPr>
          </c:dPt>
          <c:dPt>
            <c:idx val="449"/>
            <c:spPr>
              <a:solidFill>
                <a:srgbClr val="5176B7"/>
              </a:solidFill>
            </c:spPr>
          </c:dPt>
          <c:dPt>
            <c:idx val="450"/>
            <c:spPr>
              <a:solidFill>
                <a:srgbClr val="DF3EEC"/>
              </a:solidFill>
            </c:spPr>
          </c:dPt>
          <c:dPt>
            <c:idx val="451"/>
            <c:spPr>
              <a:solidFill>
                <a:srgbClr val="C3C9F6"/>
              </a:solidFill>
            </c:spPr>
          </c:dPt>
          <c:dPt>
            <c:idx val="452"/>
            <c:spPr>
              <a:solidFill>
                <a:srgbClr val="55A014"/>
              </a:solidFill>
            </c:spPr>
          </c:dPt>
          <c:dPt>
            <c:idx val="453"/>
            <c:spPr>
              <a:solidFill>
                <a:srgbClr val="0C4E71"/>
              </a:solidFill>
            </c:spPr>
          </c:dPt>
          <c:dPt>
            <c:idx val="454"/>
            <c:spPr>
              <a:solidFill>
                <a:srgbClr val="FF4254"/>
              </a:solidFill>
            </c:spPr>
          </c:dPt>
          <c:dPt>
            <c:idx val="455"/>
            <c:spPr>
              <a:solidFill>
                <a:srgbClr val="898AC9"/>
              </a:solidFill>
            </c:spPr>
          </c:dPt>
          <c:dPt>
            <c:idx val="456"/>
            <c:spPr>
              <a:solidFill>
                <a:srgbClr val="1763EF"/>
              </a:solidFill>
            </c:spPr>
          </c:dPt>
          <c:dPt>
            <c:idx val="457"/>
            <c:spPr>
              <a:solidFill>
                <a:srgbClr val="C90133"/>
              </a:solidFill>
            </c:spPr>
          </c:dPt>
          <c:dPt>
            <c:idx val="458"/>
            <c:spPr>
              <a:solidFill>
                <a:srgbClr val="56B45F"/>
              </a:solidFill>
            </c:spPr>
          </c:dPt>
          <c:dPt>
            <c:idx val="459"/>
            <c:spPr>
              <a:solidFill>
                <a:srgbClr val="4868A5"/>
              </a:solidFill>
            </c:spPr>
          </c:dPt>
          <c:dPt>
            <c:idx val="460"/>
            <c:spPr>
              <a:solidFill>
                <a:srgbClr val="FF6EA0"/>
              </a:solidFill>
            </c:spPr>
          </c:dPt>
          <c:dPt>
            <c:idx val="461"/>
            <c:spPr>
              <a:solidFill>
                <a:srgbClr val="C09EDA"/>
              </a:solidFill>
            </c:spPr>
          </c:dPt>
          <c:dPt>
            <c:idx val="462"/>
            <c:spPr>
              <a:solidFill>
                <a:srgbClr val="5087F2"/>
              </a:solidFill>
            </c:spPr>
          </c:dPt>
          <c:dPt>
            <c:idx val="463"/>
            <c:spPr>
              <a:solidFill>
                <a:srgbClr val="CF3A6F"/>
              </a:solidFill>
            </c:spPr>
          </c:dPt>
          <c:dPt>
            <c:idx val="464"/>
            <c:spPr>
              <a:solidFill>
                <a:srgbClr val="57C8AA"/>
              </a:solidFill>
            </c:spPr>
          </c:dPt>
          <c:dPt>
            <c:idx val="465"/>
            <c:spPr>
              <a:solidFill>
                <a:srgbClr val="8582D8"/>
              </a:solidFill>
            </c:spPr>
          </c:dPt>
          <c:dPt>
            <c:idx val="466"/>
            <c:spPr>
              <a:solidFill>
                <a:srgbClr val="FF9AEC"/>
              </a:solidFill>
            </c:spPr>
          </c:dPt>
          <c:dPt>
            <c:idx val="467"/>
            <c:spPr>
              <a:solidFill>
                <a:srgbClr val="F8B2EB"/>
              </a:solidFill>
            </c:spPr>
          </c:dPt>
          <c:dPt>
            <c:idx val="468"/>
            <c:spPr>
              <a:solidFill>
                <a:srgbClr val="89ACF5"/>
              </a:solidFill>
            </c:spPr>
          </c:dPt>
          <c:dPt>
            <c:idx val="469"/>
            <c:spPr>
              <a:solidFill>
                <a:srgbClr val="D572AC"/>
              </a:solidFill>
            </c:spPr>
          </c:dPt>
          <c:dPt>
            <c:idx val="470"/>
            <c:spPr>
              <a:solidFill>
                <a:srgbClr val="59DCF5"/>
              </a:solidFill>
            </c:spPr>
          </c:dPt>
          <c:dPt>
            <c:idx val="471"/>
            <c:spPr>
              <a:solidFill>
                <a:srgbClr val="C29C0C"/>
              </a:solidFill>
            </c:spPr>
          </c:dPt>
          <c:dPt>
            <c:idx val="472"/>
            <c:spPr>
              <a:solidFill>
                <a:srgbClr val="FFC539"/>
              </a:solidFill>
            </c:spPr>
          </c:dPt>
          <c:dPt>
            <c:idx val="473"/>
            <c:spPr>
              <a:solidFill>
                <a:srgbClr val="2FC5FC"/>
              </a:solidFill>
            </c:spPr>
          </c:dPt>
          <c:dPt>
            <c:idx val="474"/>
            <c:spPr>
              <a:solidFill>
                <a:srgbClr val="C1D0F9"/>
              </a:solidFill>
            </c:spPr>
          </c:dPt>
          <c:dPt>
            <c:idx val="475"/>
            <c:spPr>
              <a:solidFill>
                <a:srgbClr val="DCABE8"/>
              </a:solidFill>
            </c:spPr>
          </c:dPt>
          <c:dPt>
            <c:idx val="476"/>
            <c:spPr>
              <a:solidFill>
                <a:srgbClr val="5AF041"/>
              </a:solidFill>
            </c:spPr>
          </c:dPt>
          <c:dPt>
            <c:idx val="477"/>
            <c:spPr>
              <a:solidFill>
                <a:srgbClr val="FFB63F"/>
              </a:solidFill>
            </c:spPr>
          </c:dPt>
          <c:dPt>
            <c:idx val="478"/>
            <c:spPr>
              <a:solidFill>
                <a:srgbClr val="FFF185"/>
              </a:solidFill>
            </c:spPr>
          </c:dPt>
          <c:dPt>
            <c:idx val="479"/>
            <c:spPr>
              <a:solidFill>
                <a:srgbClr val="67D90D"/>
              </a:solidFill>
            </c:spPr>
          </c:dPt>
          <c:dPt>
            <c:idx val="480"/>
            <c:spPr>
              <a:solidFill>
                <a:srgbClr val="FAF5FC"/>
              </a:solidFill>
            </c:spPr>
          </c:dPt>
          <c:dPt>
            <c:idx val="481"/>
            <c:spPr>
              <a:solidFill>
                <a:srgbClr val="E2E325"/>
              </a:solidFill>
            </c:spPr>
          </c:dPt>
          <c:dPt>
            <c:idx val="482"/>
            <c:spPr>
              <a:solidFill>
                <a:srgbClr val="5B048C"/>
              </a:solidFill>
            </c:spPr>
          </c:dPt>
          <c:dPt>
            <c:idx val="483"/>
            <c:spPr>
              <a:solidFill>
                <a:srgbClr val="3CD073"/>
              </a:solidFill>
            </c:spPr>
          </c:dPt>
          <c:dPt>
            <c:idx val="484"/>
            <c:spPr>
              <a:solidFill>
                <a:srgbClr val="FF1DD1"/>
              </a:solidFill>
            </c:spPr>
          </c:dPt>
          <c:dPt>
            <c:idx val="485"/>
            <c:spPr>
              <a:solidFill>
                <a:srgbClr val="9EED1E"/>
              </a:solidFill>
            </c:spPr>
          </c:dPt>
          <c:dPt>
            <c:idx val="486"/>
            <c:spPr>
              <a:solidFill>
                <a:srgbClr val="331AFF"/>
              </a:solidFill>
            </c:spPr>
          </c:dPt>
          <c:dPt>
            <c:idx val="487"/>
            <c:spPr>
              <a:solidFill>
                <a:srgbClr val="E81B62"/>
              </a:solidFill>
            </c:spPr>
          </c:dPt>
          <c:dPt>
            <c:idx val="488"/>
            <c:spPr>
              <a:solidFill>
                <a:srgbClr val="5C18D7"/>
              </a:solidFill>
            </c:spPr>
          </c:dPt>
          <c:dPt>
            <c:idx val="489"/>
            <c:spPr>
              <a:solidFill>
                <a:srgbClr val="79EAA7"/>
              </a:solidFill>
            </c:spPr>
          </c:dPt>
          <c:dPt>
            <c:idx val="490"/>
            <c:spPr>
              <a:solidFill>
                <a:srgbClr val="FF491D"/>
              </a:solidFill>
            </c:spPr>
          </c:dPt>
          <c:dPt>
            <c:idx val="491"/>
            <c:spPr>
              <a:solidFill>
                <a:srgbClr val="D6012F"/>
              </a:solidFill>
            </c:spPr>
          </c:dPt>
          <c:dPt>
            <c:idx val="492"/>
            <c:spPr>
              <a:solidFill>
                <a:srgbClr val="6B3E03"/>
              </a:solidFill>
            </c:spPr>
          </c:dPt>
          <c:dPt>
            <c:idx val="493"/>
            <c:spPr>
              <a:solidFill>
                <a:srgbClr val="EF549E"/>
              </a:solidFill>
            </c:spPr>
          </c:dPt>
          <c:dPt>
            <c:idx val="494"/>
            <c:spPr>
              <a:solidFill>
                <a:srgbClr val="5D2C23"/>
              </a:solidFill>
            </c:spPr>
          </c:dPt>
          <c:dPt>
            <c:idx val="495"/>
            <c:spPr>
              <a:solidFill>
                <a:srgbClr val="B604DA"/>
              </a:solidFill>
            </c:spPr>
          </c:dPt>
          <c:dPt>
            <c:idx val="496"/>
            <c:spPr>
              <a:solidFill>
                <a:srgbClr val="FF7569"/>
              </a:solidFill>
            </c:spPr>
          </c:dPt>
          <c:dPt>
            <c:idx val="497"/>
            <c:spPr>
              <a:solidFill>
                <a:srgbClr val="0D1540"/>
              </a:solidFill>
            </c:spPr>
          </c:dPt>
          <c:dPt>
            <c:idx val="498"/>
            <c:spPr>
              <a:solidFill>
                <a:srgbClr val="A46306"/>
              </a:solidFill>
            </c:spPr>
          </c:dPt>
          <c:dPt>
            <c:idx val="499"/>
            <c:spPr>
              <a:solidFill>
                <a:srgbClr val="F58CDB"/>
              </a:solidFill>
            </c:spPr>
          </c:dPt>
          <c:dPt>
            <c:idx val="500"/>
            <c:spPr>
              <a:solidFill>
                <a:srgbClr val="5F406E"/>
              </a:solidFill>
            </c:spPr>
          </c:dPt>
          <c:dPt>
            <c:idx val="501"/>
            <c:spPr>
              <a:solidFill>
                <a:srgbClr val="F31E0E"/>
              </a:solidFill>
            </c:spPr>
          </c:dPt>
          <c:dPt>
            <c:idx val="502"/>
            <c:spPr>
              <a:solidFill>
                <a:srgbClr val="FFA0B6"/>
              </a:solidFill>
            </c:spPr>
          </c:dPt>
          <c:dPt>
            <c:idx val="503"/>
            <c:spPr>
              <a:solidFill>
                <a:srgbClr val="452851"/>
              </a:solidFill>
            </c:spPr>
          </c:dPt>
          <c:dPt>
            <c:idx val="504"/>
            <c:spPr>
              <a:solidFill>
                <a:srgbClr val="DD8709"/>
              </a:solidFill>
            </c:spPr>
          </c:dPt>
          <c:dPt>
            <c:idx val="505"/>
            <c:spPr>
              <a:solidFill>
                <a:srgbClr val="FBC517"/>
              </a:solidFill>
            </c:spPr>
          </c:dPt>
          <c:dPt>
            <c:idx val="506"/>
            <c:spPr>
              <a:solidFill>
                <a:srgbClr val="6054B9"/>
              </a:solidFill>
            </c:spPr>
          </c:dPt>
          <c:dPt>
            <c:idx val="507"/>
            <c:spPr>
              <a:solidFill>
                <a:srgbClr val="303841"/>
              </a:solidFill>
            </c:spPr>
          </c:dPt>
          <c:dPt>
            <c:idx val="508"/>
            <c:spPr>
              <a:solidFill>
                <a:srgbClr val="FFCC02"/>
              </a:solidFill>
            </c:spPr>
          </c:dPt>
          <c:dPt>
            <c:idx val="509"/>
            <c:spPr>
              <a:solidFill>
                <a:srgbClr val="7C3C62"/>
              </a:solidFill>
            </c:spPr>
          </c:dPt>
          <c:dPt>
            <c:idx val="510"/>
            <c:spPr>
              <a:solidFill>
                <a:srgbClr val="16AC0D"/>
              </a:solidFill>
            </c:spPr>
          </c:dPt>
          <c:dPt>
            <c:idx val="511"/>
            <c:spPr>
              <a:solidFill>
                <a:srgbClr val="02FD54"/>
              </a:solidFill>
            </c:spPr>
          </c:dPt>
          <c:dPt>
            <c:idx val="512"/>
            <c:spPr>
              <a:solidFill>
                <a:srgbClr val="616905"/>
              </a:solidFill>
            </c:spPr>
          </c:dPt>
          <c:dPt>
            <c:idx val="513"/>
            <c:spPr>
              <a:solidFill>
                <a:srgbClr val="6D5375"/>
              </a:solidFill>
            </c:spPr>
          </c:dPt>
          <c:dPt>
            <c:idx val="514"/>
            <c:spPr>
              <a:solidFill>
                <a:srgbClr val="FFF84E"/>
              </a:solidFill>
            </c:spPr>
          </c:dPt>
          <c:dPt>
            <c:idx val="515"/>
            <c:spPr>
              <a:solidFill>
                <a:srgbClr val="B45074"/>
              </a:solidFill>
            </c:spPr>
          </c:dPt>
          <c:dPt>
            <c:idx val="516"/>
            <c:spPr>
              <a:solidFill>
                <a:srgbClr val="4ED110"/>
              </a:solidFill>
            </c:spPr>
          </c:dPt>
          <c:dPt>
            <c:idx val="517"/>
            <c:spPr>
              <a:solidFill>
                <a:srgbClr val="083591"/>
              </a:solidFill>
            </c:spPr>
          </c:dPt>
          <c:dPt>
            <c:idx val="518"/>
            <c:spPr>
              <a:solidFill>
                <a:srgbClr val="627D50"/>
              </a:solidFill>
            </c:spPr>
          </c:dPt>
          <c:dPt>
            <c:idx val="519"/>
            <c:spPr>
              <a:solidFill>
                <a:srgbClr val="A96DA9"/>
              </a:solidFill>
            </c:spPr>
          </c:dPt>
          <c:dPt>
            <c:idx val="520"/>
            <c:spPr>
              <a:solidFill>
                <a:srgbClr val="FF249A"/>
              </a:solidFill>
            </c:spPr>
          </c:dPt>
          <c:dPt>
            <c:idx val="521"/>
            <c:spPr>
              <a:solidFill>
                <a:srgbClr val="EB6485"/>
              </a:solidFill>
            </c:spPr>
          </c:dPt>
          <c:dPt>
            <c:idx val="522"/>
            <c:spPr>
              <a:solidFill>
                <a:srgbClr val="87F513"/>
              </a:solidFill>
            </c:spPr>
          </c:dPt>
          <c:dPt>
            <c:idx val="523"/>
            <c:spPr>
              <a:solidFill>
                <a:srgbClr val="0E6ECD"/>
              </a:solidFill>
            </c:spPr>
          </c:dPt>
          <c:dPt>
            <c:idx val="524"/>
            <c:spPr>
              <a:solidFill>
                <a:srgbClr val="63919B"/>
              </a:solidFill>
            </c:spPr>
          </c:dPt>
          <c:dPt>
            <c:idx val="525"/>
            <c:spPr>
              <a:solidFill>
                <a:srgbClr val="E687DC"/>
              </a:solidFill>
            </c:spPr>
          </c:dPt>
          <c:dPt>
            <c:idx val="526"/>
            <c:spPr>
              <a:solidFill>
                <a:srgbClr val="FF50E6"/>
              </a:solidFill>
            </c:spPr>
          </c:dPt>
          <c:dPt>
            <c:idx val="527"/>
            <c:spPr>
              <a:solidFill>
                <a:srgbClr val="237896"/>
              </a:solidFill>
            </c:spPr>
          </c:dPt>
          <c:dPt>
            <c:idx val="528"/>
            <c:spPr>
              <a:solidFill>
                <a:srgbClr val="C01A16"/>
              </a:solidFill>
            </c:spPr>
          </c:dPt>
          <c:dPt>
            <c:idx val="529"/>
            <c:spPr>
              <a:solidFill>
                <a:srgbClr val="14A60A"/>
              </a:solidFill>
            </c:spPr>
          </c:dPt>
          <c:dPt>
            <c:idx val="530"/>
            <c:spPr>
              <a:solidFill>
                <a:srgbClr val="65A5E6"/>
              </a:solidFill>
            </c:spPr>
          </c:dPt>
          <c:dPt>
            <c:idx val="531"/>
            <c:spPr>
              <a:solidFill>
                <a:srgbClr val="23A110"/>
              </a:solidFill>
            </c:spPr>
          </c:dPt>
          <c:dPt>
            <c:idx val="532"/>
            <c:spPr>
              <a:solidFill>
                <a:srgbClr val="FF7B33"/>
              </a:solidFill>
            </c:spPr>
          </c:dPt>
          <c:dPt>
            <c:idx val="533"/>
            <c:spPr>
              <a:solidFill>
                <a:srgbClr val="5A8BA7"/>
              </a:solidFill>
            </c:spPr>
          </c:dPt>
          <c:dPt>
            <c:idx val="534"/>
            <c:spPr>
              <a:solidFill>
                <a:srgbClr val="F83E1A"/>
              </a:solidFill>
            </c:spPr>
          </c:dPt>
          <c:dPt>
            <c:idx val="535"/>
            <c:spPr>
              <a:solidFill>
                <a:srgbClr val="1BDF46"/>
              </a:solidFill>
            </c:spPr>
          </c:dPt>
          <c:dPt>
            <c:idx val="536"/>
            <c:spPr>
              <a:solidFill>
                <a:srgbClr val="66B932"/>
              </a:solidFill>
            </c:spPr>
          </c:dPt>
          <c:dPt>
            <c:idx val="537"/>
            <c:spPr>
              <a:solidFill>
                <a:srgbClr val="60BB43"/>
              </a:solidFill>
            </c:spPr>
          </c:dPt>
          <c:dPt>
            <c:idx val="538"/>
            <c:spPr>
              <a:solidFill>
                <a:srgbClr val="FFA77F"/>
              </a:solidFill>
            </c:spPr>
          </c:dPt>
          <c:dPt>
            <c:idx val="539"/>
            <c:spPr>
              <a:solidFill>
                <a:srgbClr val="929FB8"/>
              </a:solidFill>
            </c:spPr>
          </c:dPt>
          <c:dPt>
            <c:idx val="540"/>
            <c:spPr>
              <a:solidFill>
                <a:srgbClr val="31631D"/>
              </a:solidFill>
            </c:spPr>
          </c:dPt>
          <c:dPt>
            <c:idx val="541"/>
            <c:spPr>
              <a:solidFill>
                <a:srgbClr val="211783"/>
              </a:solidFill>
            </c:spPr>
          </c:dPt>
          <c:dPt>
            <c:idx val="542"/>
            <c:spPr>
              <a:solidFill>
                <a:srgbClr val="67CD7D"/>
              </a:solidFill>
            </c:spPr>
          </c:dPt>
          <c:dPt>
            <c:idx val="543"/>
            <c:spPr>
              <a:solidFill>
                <a:srgbClr val="9DD577"/>
              </a:solidFill>
            </c:spPr>
          </c:dPt>
          <c:dPt>
            <c:idx val="544"/>
            <c:spPr>
              <a:solidFill>
                <a:srgbClr val="FFD3CB"/>
              </a:solidFill>
            </c:spPr>
          </c:dPt>
          <c:dPt>
            <c:idx val="545"/>
            <c:spPr>
              <a:solidFill>
                <a:srgbClr val="C9B3C9"/>
              </a:solidFill>
            </c:spPr>
          </c:dPt>
          <c:dPt>
            <c:idx val="546"/>
            <c:spPr>
              <a:solidFill>
                <a:srgbClr val="6A8820"/>
              </a:solidFill>
            </c:spPr>
          </c:dPt>
          <c:dPt>
            <c:idx val="547"/>
            <c:spPr>
              <a:solidFill>
                <a:srgbClr val="274FC0"/>
              </a:solidFill>
            </c:spPr>
          </c:dPt>
          <c:dPt>
            <c:idx val="548"/>
            <c:spPr>
              <a:solidFill>
                <a:srgbClr val="68E1C8"/>
              </a:solidFill>
            </c:spPr>
          </c:dPt>
          <c:dPt>
            <c:idx val="549"/>
            <c:spPr>
              <a:solidFill>
                <a:srgbClr val="DAEFAB"/>
              </a:solidFill>
            </c:spPr>
          </c:dPt>
          <c:dPt>
            <c:idx val="550"/>
            <c:spPr>
              <a:solidFill>
                <a:srgbClr val="FFFF17"/>
              </a:solidFill>
            </c:spPr>
          </c:dPt>
          <c:dPt>
            <c:idx val="551"/>
            <c:spPr>
              <a:solidFill>
                <a:srgbClr val="01C7DA"/>
              </a:solidFill>
            </c:spPr>
          </c:dPt>
          <c:dPt>
            <c:idx val="552"/>
            <c:spPr>
              <a:solidFill>
                <a:srgbClr val="A2AC24"/>
              </a:solidFill>
            </c:spPr>
          </c:dPt>
          <c:dPt>
            <c:idx val="553"/>
            <c:spPr>
              <a:solidFill>
                <a:srgbClr val="2E88FC"/>
              </a:solidFill>
            </c:spPr>
          </c:dPt>
          <c:dPt>
            <c:idx val="554"/>
            <c:spPr>
              <a:solidFill>
                <a:srgbClr val="69F514"/>
              </a:solidFill>
            </c:spPr>
          </c:dPt>
          <c:dPt>
            <c:idx val="555"/>
            <c:spPr>
              <a:solidFill>
                <a:srgbClr val="1709DE"/>
              </a:solidFill>
            </c:spPr>
          </c:dPt>
          <c:dPt>
            <c:idx val="556"/>
            <c:spPr>
              <a:solidFill>
                <a:srgbClr val="FF2B63"/>
              </a:solidFill>
            </c:spPr>
          </c:dPt>
          <c:dPt>
            <c:idx val="557"/>
            <c:spPr>
              <a:solidFill>
                <a:srgbClr val="38DBEB"/>
              </a:solidFill>
            </c:spPr>
          </c:dPt>
          <c:dPt>
            <c:idx val="558"/>
            <c:spPr>
              <a:solidFill>
                <a:srgbClr val="DBD127"/>
              </a:solidFill>
            </c:spPr>
          </c:dPt>
          <c:dPt>
            <c:idx val="559"/>
            <c:spPr>
              <a:solidFill>
                <a:srgbClr val="34C039"/>
              </a:solidFill>
            </c:spPr>
          </c:dPt>
          <c:dPt>
            <c:idx val="560"/>
            <c:spPr>
              <a:solidFill>
                <a:srgbClr val="6B095F"/>
              </a:solidFill>
            </c:spPr>
          </c:dPt>
          <c:dPt>
            <c:idx val="561"/>
            <c:spPr>
              <a:solidFill>
                <a:srgbClr val="542312"/>
              </a:solidFill>
            </c:spPr>
          </c:dPt>
          <c:dPt>
            <c:idx val="562"/>
            <c:spPr>
              <a:solidFill>
                <a:srgbClr val="FF56B0"/>
              </a:solidFill>
            </c:spPr>
          </c:dPt>
          <c:dPt>
            <c:idx val="563"/>
            <c:spPr>
              <a:solidFill>
                <a:srgbClr val="70EEFC"/>
              </a:solidFill>
            </c:spPr>
          </c:dPt>
          <c:dPt>
            <c:idx val="564"/>
            <c:spPr>
              <a:solidFill>
                <a:srgbClr val="14F52A"/>
              </a:solidFill>
            </c:spPr>
          </c:dPt>
          <c:dPt>
            <c:idx val="565"/>
            <c:spPr>
              <a:solidFill>
                <a:srgbClr val="3AF975"/>
              </a:solidFill>
            </c:spPr>
          </c:dPt>
          <c:dPt>
            <c:idx val="566"/>
            <c:spPr>
              <a:solidFill>
                <a:srgbClr val="6C1DAA"/>
              </a:solidFill>
            </c:spPr>
          </c:dPt>
          <c:dPt>
            <c:idx val="567"/>
            <c:spPr>
              <a:solidFill>
                <a:srgbClr val="913D45"/>
              </a:solidFill>
            </c:spPr>
          </c:dPt>
          <c:dPt>
            <c:idx val="568"/>
            <c:spPr>
              <a:solidFill>
                <a:srgbClr val="FF82FC"/>
              </a:solidFill>
            </c:spPr>
          </c:dPt>
          <c:dPt>
            <c:idx val="569"/>
            <c:spPr>
              <a:solidFill>
                <a:srgbClr val="A7020D"/>
              </a:solidFill>
            </c:spPr>
          </c:dPt>
          <c:dPt>
            <c:idx val="570"/>
            <c:spPr>
              <a:solidFill>
                <a:srgbClr val="4D1A2E"/>
              </a:solidFill>
            </c:spPr>
          </c:dPt>
          <c:dPt>
            <c:idx val="571"/>
            <c:spPr>
              <a:solidFill>
                <a:srgbClr val="4131B2"/>
              </a:solidFill>
            </c:spPr>
          </c:dPt>
          <c:dPt>
            <c:idx val="572"/>
            <c:spPr>
              <a:solidFill>
                <a:srgbClr val="6D32F6"/>
              </a:solidFill>
            </c:spPr>
          </c:dPt>
          <c:dPt>
            <c:idx val="573"/>
            <c:spPr>
              <a:solidFill>
                <a:srgbClr val="CE5879"/>
              </a:solidFill>
            </c:spPr>
          </c:dPt>
          <c:dPt>
            <c:idx val="574"/>
            <c:spPr>
              <a:solidFill>
                <a:srgbClr val="FFAE48"/>
              </a:solidFill>
            </c:spPr>
          </c:dPt>
          <c:dPt>
            <c:idx val="575"/>
            <c:spPr>
              <a:solidFill>
                <a:srgbClr val="DF161F"/>
              </a:solidFill>
            </c:spPr>
          </c:dPt>
          <c:dPt>
            <c:idx val="576"/>
            <c:spPr>
              <a:solidFill>
                <a:srgbClr val="853F31"/>
              </a:solidFill>
            </c:spPr>
          </c:dPt>
          <c:dPt>
            <c:idx val="577"/>
            <c:spPr>
              <a:solidFill>
                <a:srgbClr val="4769EF"/>
              </a:solidFill>
            </c:spPr>
          </c:dPt>
          <c:dPt>
            <c:idx val="578"/>
            <c:spPr>
              <a:solidFill>
                <a:srgbClr val="6E4641"/>
              </a:solidFill>
            </c:spPr>
          </c:dPt>
          <c:dPt>
            <c:idx val="579"/>
            <c:spPr>
              <a:solidFill>
                <a:srgbClr val="0A72AD"/>
              </a:solidFill>
            </c:spPr>
          </c:dPt>
          <c:dPt>
            <c:idx val="580"/>
            <c:spPr>
              <a:solidFill>
                <a:srgbClr val="FFDA94"/>
              </a:solidFill>
            </c:spPr>
          </c:dPt>
          <c:dPt>
            <c:idx val="581"/>
            <c:spPr>
              <a:solidFill>
                <a:srgbClr val="162A30"/>
              </a:solidFill>
            </c:spPr>
          </c:dPt>
          <c:dPt>
            <c:idx val="582"/>
            <c:spPr>
              <a:solidFill>
                <a:srgbClr val="BE6334"/>
              </a:solidFill>
            </c:spPr>
          </c:dPt>
          <c:dPt>
            <c:idx val="583"/>
            <c:spPr>
              <a:solidFill>
                <a:srgbClr val="4DA22B"/>
              </a:solidFill>
            </c:spPr>
          </c:dPt>
          <c:dPt>
            <c:idx val="584"/>
            <c:spPr>
              <a:solidFill>
                <a:srgbClr val="6F5A8C"/>
              </a:solidFill>
            </c:spPr>
          </c:dPt>
          <c:dPt>
            <c:idx val="585"/>
            <c:spPr>
              <a:solidFill>
                <a:srgbClr val="478CE0"/>
              </a:solidFill>
            </c:spPr>
          </c:dPt>
          <c:dPt>
            <c:idx val="586"/>
            <c:spPr>
              <a:solidFill>
                <a:srgbClr val="FF06E0"/>
              </a:solidFill>
            </c:spPr>
          </c:dPt>
          <c:dPt>
            <c:idx val="587"/>
            <c:spPr>
              <a:solidFill>
                <a:srgbClr val="4E3E41"/>
              </a:solidFill>
            </c:spPr>
          </c:dPt>
          <c:dPt>
            <c:idx val="588"/>
            <c:spPr>
              <a:solidFill>
                <a:srgbClr val="F78837"/>
              </a:solidFill>
            </c:spPr>
          </c:dPt>
          <c:dPt>
            <c:idx val="589"/>
            <c:spPr>
              <a:solidFill>
                <a:srgbClr val="53DA68"/>
              </a:solidFill>
            </c:spPr>
          </c:dPt>
          <c:dPt>
            <c:idx val="590"/>
            <c:spPr>
              <a:solidFill>
                <a:srgbClr val="716ED7"/>
              </a:solidFill>
            </c:spPr>
          </c:dPt>
          <c:dPt>
            <c:idx val="591"/>
            <c:spPr>
              <a:solidFill>
                <a:srgbClr val="84A614"/>
              </a:solidFill>
            </c:spPr>
          </c:dPt>
          <c:dPt>
            <c:idx val="592"/>
            <c:spPr>
              <a:solidFill>
                <a:srgbClr val="FF312D"/>
              </a:solidFill>
            </c:spPr>
          </c:dPt>
          <c:dPt>
            <c:idx val="593"/>
            <c:spPr>
              <a:solidFill>
                <a:srgbClr val="855152"/>
              </a:solidFill>
            </c:spPr>
          </c:dPt>
          <c:dPt>
            <c:idx val="594"/>
            <c:spPr>
              <a:solidFill>
                <a:srgbClr val="2FAC3B"/>
              </a:solidFill>
            </c:spPr>
          </c:dPt>
          <c:dPt>
            <c:idx val="595"/>
            <c:spPr>
              <a:solidFill>
                <a:srgbClr val="5A13A4"/>
              </a:solidFill>
            </c:spPr>
          </c:dPt>
          <c:dPt>
            <c:idx val="596"/>
            <c:spPr>
              <a:solidFill>
                <a:srgbClr val="728223"/>
              </a:solidFill>
            </c:spPr>
          </c:dPt>
          <c:dPt>
            <c:idx val="597"/>
            <c:spPr>
              <a:solidFill>
                <a:srgbClr val="C1C047"/>
              </a:solidFill>
            </c:spPr>
          </c:dPt>
          <c:dPt>
            <c:idx val="598"/>
            <c:spPr>
              <a:solidFill>
                <a:srgbClr val="FF5D79"/>
              </a:solidFill>
            </c:spPr>
          </c:dPt>
          <c:dPt>
            <c:idx val="599"/>
            <c:spPr>
              <a:solidFill>
                <a:srgbClr val="BD6563"/>
              </a:solidFill>
            </c:spPr>
          </c:dPt>
          <c:dPt>
            <c:idx val="600"/>
            <c:spPr>
              <a:solidFill>
                <a:srgbClr val="68D13E"/>
              </a:solidFill>
            </c:spPr>
          </c:dPt>
          <c:dPt>
            <c:idx val="601"/>
            <c:spPr>
              <a:solidFill>
                <a:srgbClr val="604BE1"/>
              </a:solidFill>
            </c:spPr>
          </c:dPt>
          <c:dPt>
            <c:idx val="602"/>
            <c:spPr>
              <a:solidFill>
                <a:srgbClr val="73966E"/>
              </a:solidFill>
            </c:spPr>
          </c:dPt>
          <c:dPt>
            <c:idx val="603"/>
            <c:spPr>
              <a:solidFill>
                <a:srgbClr val="FEDA7B"/>
              </a:solidFill>
            </c:spPr>
          </c:dPt>
          <c:dPt>
            <c:idx val="604"/>
            <c:spPr>
              <a:solidFill>
                <a:srgbClr val="FF89C5"/>
              </a:solidFill>
            </c:spPr>
          </c:dPt>
          <c:dPt>
            <c:idx val="605"/>
            <c:spPr>
              <a:solidFill>
                <a:srgbClr val="F47974"/>
              </a:solidFill>
            </c:spPr>
          </c:dPt>
          <c:dPt>
            <c:idx val="606"/>
            <c:spPr>
              <a:solidFill>
                <a:srgbClr val="A1F641"/>
              </a:solidFill>
            </c:spPr>
          </c:dPt>
          <c:dPt>
            <c:idx val="607"/>
            <c:spPr>
              <a:solidFill>
                <a:srgbClr val="66831E"/>
              </a:solidFill>
            </c:spPr>
          </c:dPt>
          <c:dPt>
            <c:idx val="608"/>
            <c:spPr>
              <a:solidFill>
                <a:srgbClr val="74AAB9"/>
              </a:solidFill>
            </c:spPr>
          </c:dPt>
          <c:dPt>
            <c:idx val="609"/>
            <c:spPr>
              <a:solidFill>
                <a:srgbClr val="3BF4AF"/>
              </a:solidFill>
            </c:spPr>
          </c:dPt>
          <c:dPt>
            <c:idx val="610"/>
            <c:spPr>
              <a:solidFill>
                <a:srgbClr val="FFB511"/>
              </a:solidFill>
            </c:spPr>
          </c:dPt>
          <c:dPt>
            <c:idx val="611"/>
            <c:spPr>
              <a:solidFill>
                <a:srgbClr val="2C8D85"/>
              </a:solidFill>
            </c:spPr>
          </c:dPt>
          <c:dPt>
            <c:idx val="612"/>
            <c:spPr>
              <a:solidFill>
                <a:srgbClr val="D91A45"/>
              </a:solidFill>
            </c:spPr>
          </c:dPt>
          <c:dPt>
            <c:idx val="613"/>
            <c:spPr>
              <a:solidFill>
                <a:srgbClr val="6DBC5A"/>
              </a:solidFill>
            </c:spPr>
          </c:dPt>
          <c:dPt>
            <c:idx val="614"/>
            <c:spPr>
              <a:solidFill>
                <a:srgbClr val="75BE05"/>
              </a:solidFill>
            </c:spPr>
          </c:dPt>
          <c:dPt>
            <c:idx val="615"/>
            <c:spPr>
              <a:solidFill>
                <a:srgbClr val="780EE2"/>
              </a:solidFill>
            </c:spPr>
          </c:dPt>
          <c:dPt>
            <c:idx val="616"/>
            <c:spPr>
              <a:solidFill>
                <a:srgbClr val="FFE15D"/>
              </a:solidFill>
            </c:spPr>
          </c:dPt>
          <c:dPt>
            <c:idx val="617"/>
            <c:spPr>
              <a:solidFill>
                <a:srgbClr val="63A196"/>
              </a:solidFill>
            </c:spPr>
          </c:dPt>
          <c:dPt>
            <c:idx val="618"/>
            <c:spPr>
              <a:solidFill>
                <a:srgbClr val="123F48"/>
              </a:solidFill>
            </c:spPr>
          </c:dPt>
          <c:dPt>
            <c:idx val="619"/>
            <c:spPr>
              <a:solidFill>
                <a:srgbClr val="73F497"/>
              </a:solidFill>
            </c:spPr>
          </c:dPt>
          <c:dPt>
            <c:idx val="620"/>
            <c:spPr>
              <a:solidFill>
                <a:srgbClr val="77D250"/>
              </a:solidFill>
            </c:spPr>
          </c:dPt>
          <c:dPt>
            <c:idx val="621"/>
            <c:spPr>
              <a:solidFill>
                <a:srgbClr val="B52816"/>
              </a:solidFill>
            </c:spPr>
          </c:dPt>
          <c:dPt>
            <c:idx val="622"/>
            <c:spPr>
              <a:solidFill>
                <a:srgbClr val="FF0CAA"/>
              </a:solidFill>
            </c:spPr>
          </c:dPt>
          <c:dPt>
            <c:idx val="623"/>
            <c:spPr>
              <a:solidFill>
                <a:srgbClr val="9BB4A7"/>
              </a:solidFill>
            </c:spPr>
          </c:dPt>
          <c:dPt>
            <c:idx val="624"/>
            <c:spPr>
              <a:solidFill>
                <a:srgbClr val="4B634B"/>
              </a:solidFill>
            </c:spPr>
          </c:dPt>
          <c:dPt>
            <c:idx val="625"/>
            <c:spPr>
              <a:solidFill>
                <a:srgbClr val="792DD3"/>
              </a:solidFill>
            </c:spPr>
          </c:dPt>
          <c:dPt>
            <c:idx val="626"/>
            <c:spPr>
              <a:solidFill>
                <a:srgbClr val="78E69B"/>
              </a:solidFill>
            </c:spPr>
          </c:dPt>
          <c:dPt>
            <c:idx val="627"/>
            <c:spPr>
              <a:solidFill>
                <a:srgbClr val="F24249"/>
              </a:solidFill>
            </c:spPr>
          </c:dPt>
          <c:dPt>
            <c:idx val="628"/>
            <c:spPr>
              <a:solidFill>
                <a:srgbClr val="FF38F6"/>
              </a:solidFill>
            </c:spPr>
          </c:dPt>
          <c:dPt>
            <c:idx val="629"/>
            <c:spPr>
              <a:solidFill>
                <a:srgbClr val="D2C8B8"/>
              </a:solidFill>
            </c:spPr>
          </c:dPt>
          <c:dPt>
            <c:idx val="630"/>
            <c:spPr>
              <a:solidFill>
                <a:srgbClr val="84884F"/>
              </a:solidFill>
            </c:spPr>
          </c:dPt>
          <c:dPt>
            <c:idx val="631"/>
            <c:spPr>
              <a:solidFill>
                <a:srgbClr val="806510"/>
              </a:solidFill>
            </c:spPr>
          </c:dPt>
          <c:dPt>
            <c:idx val="632"/>
            <c:spPr>
              <a:solidFill>
                <a:srgbClr val="79FBE7"/>
              </a:solidFill>
            </c:spPr>
          </c:dPt>
          <c:dPt>
            <c:idx val="633"/>
            <c:spPr>
              <a:solidFill>
                <a:srgbClr val="2F5D7D"/>
              </a:solidFill>
            </c:spPr>
          </c:dPt>
          <c:dPt>
            <c:idx val="634"/>
            <c:spPr>
              <a:solidFill>
                <a:srgbClr val="FF6442"/>
              </a:solidFill>
            </c:spPr>
          </c:dPt>
          <c:dPt>
            <c:idx val="635"/>
            <c:spPr>
              <a:solidFill>
                <a:srgbClr val="0ADCCA"/>
              </a:solidFill>
            </c:spPr>
          </c:dPt>
          <c:dPt>
            <c:idx val="636"/>
            <c:spPr>
              <a:solidFill>
                <a:srgbClr val="BCAD52"/>
              </a:solidFill>
            </c:spPr>
          </c:dPt>
          <c:dPt>
            <c:idx val="637"/>
            <c:spPr>
              <a:solidFill>
                <a:srgbClr val="869D4D"/>
              </a:solidFill>
            </c:spPr>
          </c:dPt>
          <c:dPt>
            <c:idx val="638"/>
            <c:spPr>
              <a:solidFill>
                <a:srgbClr val="7A0F32"/>
              </a:solidFill>
            </c:spPr>
          </c:dPt>
          <c:dPt>
            <c:idx val="639"/>
            <c:spPr>
              <a:solidFill>
                <a:srgbClr val="6B77B1"/>
              </a:solidFill>
            </c:spPr>
          </c:dPt>
          <c:dPt>
            <c:idx val="640"/>
            <c:spPr>
              <a:solidFill>
                <a:srgbClr val="FF908E"/>
              </a:solidFill>
            </c:spPr>
          </c:dPt>
          <c:dPt>
            <c:idx val="641"/>
            <c:spPr>
              <a:solidFill>
                <a:srgbClr val="41F0DB"/>
              </a:solidFill>
            </c:spPr>
          </c:dPt>
          <c:dPt>
            <c:idx val="642"/>
            <c:spPr>
              <a:solidFill>
                <a:srgbClr val="F5D155"/>
              </a:solidFill>
            </c:spPr>
          </c:dPt>
          <c:dPt>
            <c:idx val="643"/>
            <c:spPr>
              <a:solidFill>
                <a:srgbClr val="8CD689"/>
              </a:solidFill>
            </c:spPr>
          </c:dPt>
          <c:dPt>
            <c:idx val="644"/>
            <c:spPr>
              <a:solidFill>
                <a:srgbClr val="7B237D"/>
              </a:solidFill>
            </c:spPr>
          </c:dPt>
          <c:dPt>
            <c:idx val="645"/>
            <c:spPr>
              <a:solidFill>
                <a:srgbClr val="A891E4"/>
              </a:solidFill>
            </c:spPr>
          </c:dPt>
          <c:dPt>
            <c:idx val="646"/>
            <c:spPr>
              <a:solidFill>
                <a:srgbClr val="FFBCDA"/>
              </a:solidFill>
            </c:spPr>
          </c:dPt>
          <c:dPt>
            <c:idx val="647"/>
            <c:spPr>
              <a:solidFill>
                <a:srgbClr val="7804EC"/>
              </a:solidFill>
            </c:spPr>
          </c:dPt>
          <c:dPt>
            <c:idx val="648"/>
            <c:spPr>
              <a:solidFill>
                <a:srgbClr val="2EF658"/>
              </a:solidFill>
            </c:spPr>
          </c:dPt>
          <c:dPt>
            <c:idx val="649"/>
            <c:spPr>
              <a:solidFill>
                <a:srgbClr val="920EC6"/>
              </a:solidFill>
            </c:spPr>
          </c:dPt>
          <c:dPt>
            <c:idx val="650"/>
            <c:spPr>
              <a:solidFill>
                <a:srgbClr val="7D37C8"/>
              </a:solidFill>
            </c:spPr>
          </c:dPt>
          <c:dPt>
            <c:idx val="651"/>
            <c:spPr>
              <a:solidFill>
                <a:srgbClr val="E5AB18"/>
              </a:solidFill>
            </c:spPr>
          </c:dPt>
          <c:dPt>
            <c:idx val="652"/>
            <c:spPr>
              <a:solidFill>
                <a:srgbClr val="FFE727"/>
              </a:solidFill>
            </c:spPr>
          </c:dPt>
          <c:dPt>
            <c:idx val="653"/>
            <c:spPr>
              <a:solidFill>
                <a:srgbClr val="B017FD"/>
              </a:solidFill>
            </c:spPr>
          </c:dPt>
          <c:dPt>
            <c:idx val="654"/>
            <c:spPr>
              <a:solidFill>
                <a:srgbClr val="661A5C"/>
              </a:solidFill>
            </c:spPr>
          </c:dPt>
          <c:dPt>
            <c:idx val="655"/>
            <c:spPr>
              <a:solidFill>
                <a:srgbClr val="994702"/>
              </a:solidFill>
            </c:spPr>
          </c:dPt>
          <c:dPt>
            <c:idx val="656"/>
            <c:spPr>
              <a:solidFill>
                <a:srgbClr val="7E4B14"/>
              </a:solidFill>
            </c:spPr>
          </c:dPt>
          <c:dPt>
            <c:idx val="657"/>
            <c:spPr>
              <a:solidFill>
                <a:srgbClr val="22C54B"/>
              </a:solidFill>
            </c:spPr>
          </c:dPt>
          <c:dPt>
            <c:idx val="658"/>
            <c:spPr>
              <a:solidFill>
                <a:srgbClr val="FF1373"/>
              </a:solidFill>
            </c:spPr>
          </c:dPt>
          <c:dPt>
            <c:idx val="659"/>
            <c:spPr>
              <a:solidFill>
                <a:srgbClr val="E82B0E"/>
              </a:solidFill>
            </c:spPr>
          </c:dPt>
          <c:dPt>
            <c:idx val="660"/>
            <c:spPr>
              <a:solidFill>
                <a:srgbClr val="9F3F5F"/>
              </a:solidFill>
            </c:spPr>
          </c:dPt>
          <c:dPt>
            <c:idx val="661"/>
            <c:spPr>
              <a:solidFill>
                <a:srgbClr val="9F7F3F"/>
              </a:solidFill>
            </c:spPr>
          </c:dPt>
          <c:dPt>
            <c:idx val="662"/>
            <c:spPr>
              <a:solidFill>
                <a:srgbClr val="7F5F5F"/>
              </a:solidFill>
            </c:spPr>
          </c:dPt>
          <c:dPt>
            <c:idx val="663"/>
            <c:spPr>
              <a:solidFill>
                <a:srgbClr val="5FDF7F"/>
              </a:solidFill>
            </c:spPr>
          </c:dPt>
          <c:dPt>
            <c:idx val="664"/>
            <c:spPr>
              <a:solidFill>
                <a:srgbClr val="FF3FBF"/>
              </a:solidFill>
            </c:spPr>
          </c:dPt>
          <c:dPt>
            <c:idx val="665"/>
            <c:spPr>
              <a:solidFill>
                <a:srgbClr val="1F3F1F"/>
              </a:solidFill>
            </c:spPr>
          </c:dPt>
          <c:dPt>
            <c:idx val="666"/>
            <c:spPr>
              <a:solidFill>
                <a:srgbClr val="D86462"/>
              </a:solidFill>
            </c:spPr>
          </c:dPt>
          <c:dPt>
            <c:idx val="667"/>
            <c:spPr>
              <a:solidFill>
                <a:srgbClr val="A5B77C"/>
              </a:solidFill>
            </c:spPr>
          </c:dPt>
          <c:dPt>
            <c:idx val="668"/>
            <c:spPr>
              <a:solidFill>
                <a:srgbClr val="8073AA"/>
              </a:solidFill>
            </c:spPr>
          </c:dPt>
          <c:dPt>
            <c:idx val="669"/>
            <c:spPr>
              <a:solidFill>
                <a:srgbClr val="9CF9B3"/>
              </a:solidFill>
            </c:spPr>
          </c:dPt>
          <c:dPt>
            <c:idx val="670"/>
            <c:spPr>
              <a:solidFill>
                <a:srgbClr val="FF6B0B"/>
              </a:solidFill>
            </c:spPr>
          </c:dPt>
          <c:dPt>
            <c:idx val="671"/>
            <c:spPr>
              <a:solidFill>
                <a:srgbClr val="575330"/>
              </a:solidFill>
            </c:spPr>
          </c:dPt>
          <c:dPt>
            <c:idx val="672"/>
            <c:spPr>
              <a:solidFill>
                <a:srgbClr val="108866"/>
              </a:solidFill>
            </c:spPr>
          </c:dPt>
          <c:dPt>
            <c:idx val="673"/>
            <c:spPr>
              <a:solidFill>
                <a:srgbClr val="ACF0B8"/>
              </a:solidFill>
            </c:spPr>
          </c:dPt>
          <c:dPt>
            <c:idx val="674"/>
            <c:spPr>
              <a:solidFill>
                <a:srgbClr val="8187F6"/>
              </a:solidFill>
            </c:spPr>
          </c:dPt>
          <c:dPt>
            <c:idx val="675"/>
            <c:spPr>
              <a:solidFill>
                <a:srgbClr val="D913E6"/>
              </a:solidFill>
            </c:spPr>
          </c:dPt>
          <c:dPt>
            <c:idx val="676"/>
            <c:spPr>
              <a:solidFill>
                <a:srgbClr val="FF9757"/>
              </a:solidFill>
            </c:spPr>
          </c:dPt>
          <c:dPt>
            <c:idx val="677"/>
            <c:spPr>
              <a:solidFill>
                <a:srgbClr val="8E6741"/>
              </a:solidFill>
            </c:spPr>
          </c:dPt>
          <c:dPt>
            <c:idx val="678"/>
            <c:spPr>
              <a:solidFill>
                <a:srgbClr val="49AD69"/>
              </a:solidFill>
            </c:spPr>
          </c:dPt>
          <c:dPt>
            <c:idx val="679"/>
            <c:spPr>
              <a:solidFill>
                <a:srgbClr val="B228F5"/>
              </a:solidFill>
            </c:spPr>
          </c:dPt>
          <c:dPt>
            <c:idx val="680"/>
            <c:spPr>
              <a:solidFill>
                <a:srgbClr val="839B41"/>
              </a:solidFill>
            </c:spPr>
          </c:dPt>
          <c:dPt>
            <c:idx val="681"/>
            <c:spPr>
              <a:solidFill>
                <a:srgbClr val="162D1A"/>
              </a:solidFill>
            </c:spPr>
          </c:dPt>
          <c:dPt>
            <c:idx val="682"/>
            <c:spPr>
              <a:solidFill>
                <a:srgbClr val="FFC2A4"/>
              </a:solidFill>
            </c:spPr>
          </c:dPt>
          <c:dPt>
            <c:idx val="683"/>
            <c:spPr>
              <a:solidFill>
                <a:srgbClr val="C67A52"/>
              </a:solidFill>
            </c:spPr>
          </c:dPt>
          <c:dPt>
            <c:idx val="684"/>
            <c:spPr>
              <a:solidFill>
                <a:srgbClr val="82D16C"/>
              </a:solidFill>
            </c:spPr>
          </c:dPt>
          <c:dPt>
            <c:idx val="685"/>
            <c:spPr>
              <a:solidFill>
                <a:srgbClr val="B86131"/>
              </a:solidFill>
            </c:spPr>
          </c:dPt>
          <c:dPt>
            <c:idx val="686"/>
            <c:spPr>
              <a:solidFill>
                <a:srgbClr val="84AF8C"/>
              </a:solidFill>
            </c:spPr>
          </c:dPt>
          <c:dPt>
            <c:idx val="687"/>
            <c:spPr>
              <a:solidFill>
                <a:srgbClr val="53474D"/>
              </a:solidFill>
            </c:spPr>
          </c:dPt>
          <c:dPt>
            <c:idx val="688"/>
            <c:spPr>
              <a:solidFill>
                <a:srgbClr val="FFEEF0"/>
              </a:solidFill>
            </c:spPr>
          </c:dPt>
          <c:dPt>
            <c:idx val="689"/>
            <c:spPr>
              <a:solidFill>
                <a:srgbClr val="FD8E63"/>
              </a:solidFill>
            </c:spPr>
          </c:dPt>
          <c:dPt>
            <c:idx val="690"/>
            <c:spPr>
              <a:solidFill>
                <a:srgbClr val="BBF670"/>
              </a:solidFill>
            </c:spPr>
          </c:dPt>
          <c:dPt>
            <c:idx val="691"/>
            <c:spPr>
              <a:solidFill>
                <a:srgbClr val="BF996E"/>
              </a:solidFill>
            </c:spPr>
          </c:dPt>
          <c:dPt>
            <c:idx val="692"/>
            <c:spPr>
              <a:solidFill>
                <a:srgbClr val="85C4D8"/>
              </a:solidFill>
            </c:spPr>
          </c:dPt>
          <c:dPt>
            <c:idx val="693"/>
            <c:spPr>
              <a:solidFill>
                <a:srgbClr val="906281"/>
              </a:solidFill>
            </c:spPr>
          </c:dPt>
          <c:dPt>
            <c:idx val="694"/>
            <c:spPr>
              <a:solidFill>
                <a:srgbClr val="FF1A3C"/>
              </a:solidFill>
            </c:spPr>
          </c:dPt>
          <c:dPt>
            <c:idx val="695"/>
            <c:spPr>
              <a:solidFill>
                <a:srgbClr val="35A275"/>
              </a:solidFill>
            </c:spPr>
          </c:dPt>
          <c:dPt>
            <c:idx val="696"/>
            <c:spPr>
              <a:solidFill>
                <a:srgbClr val="F31B73"/>
              </a:solidFill>
            </c:spPr>
          </c:dPt>
          <c:dPt>
            <c:idx val="697"/>
            <c:spPr>
              <a:solidFill>
                <a:srgbClr val="C5D1AB"/>
              </a:solidFill>
            </c:spPr>
          </c:dPt>
          <c:dPt>
            <c:idx val="698"/>
            <c:spPr>
              <a:solidFill>
                <a:srgbClr val="86D823"/>
              </a:solidFill>
            </c:spPr>
          </c:dPt>
          <c:dPt>
            <c:idx val="699"/>
            <c:spPr>
              <a:solidFill>
                <a:srgbClr val="CC7CB5"/>
              </a:solidFill>
            </c:spPr>
          </c:dPt>
          <c:dPt>
            <c:idx val="700"/>
            <c:spPr>
              <a:solidFill>
                <a:srgbClr val="FF4688"/>
              </a:solidFill>
            </c:spPr>
          </c:dPt>
          <c:dPt>
            <c:idx val="701"/>
            <c:spPr>
              <a:solidFill>
                <a:srgbClr val="6CB686"/>
              </a:solidFill>
            </c:spPr>
          </c:dPt>
          <c:dPt>
            <c:idx val="702"/>
            <c:spPr>
              <a:solidFill>
                <a:srgbClr val="2C3F76"/>
              </a:solidFill>
            </c:spPr>
          </c:dPt>
          <c:dPt>
            <c:idx val="703"/>
            <c:spPr>
              <a:solidFill>
                <a:srgbClr val="CB0AE7"/>
              </a:solidFill>
            </c:spPr>
          </c:dPt>
          <c:dPt>
            <c:idx val="704"/>
            <c:spPr>
              <a:solidFill>
                <a:srgbClr val="87EC6E"/>
              </a:solidFill>
            </c:spPr>
          </c:dPt>
          <c:dPt>
            <c:idx val="705"/>
            <c:spPr>
              <a:solidFill>
                <a:srgbClr val="0996E8"/>
              </a:solidFill>
            </c:spPr>
          </c:dPt>
          <c:dPt>
            <c:idx val="706"/>
            <c:spPr>
              <a:solidFill>
                <a:srgbClr val="FF72D4"/>
              </a:solidFill>
            </c:spPr>
          </c:dPt>
          <c:dPt>
            <c:idx val="707"/>
            <c:spPr>
              <a:solidFill>
                <a:srgbClr val="A3CA97"/>
              </a:solidFill>
            </c:spPr>
          </c:dPt>
          <c:dPt>
            <c:idx val="708"/>
            <c:spPr>
              <a:solidFill>
                <a:srgbClr val="656479"/>
              </a:solidFill>
            </c:spPr>
          </c:dPt>
          <c:dPt>
            <c:idx val="709"/>
            <c:spPr>
              <a:solidFill>
                <a:srgbClr val="D14224"/>
              </a:solidFill>
            </c:spPr>
          </c:dPt>
          <c:dPt>
            <c:idx val="710"/>
            <c:spPr>
              <a:solidFill>
                <a:srgbClr val="8900B9"/>
              </a:solidFill>
            </c:spPr>
          </c:dPt>
          <c:dPt>
            <c:idx val="711"/>
            <c:spPr>
              <a:solidFill>
                <a:srgbClr val="46B01C"/>
              </a:solidFill>
            </c:spPr>
          </c:dPt>
          <c:dPt>
            <c:idx val="712"/>
            <c:spPr>
              <a:solidFill>
                <a:srgbClr val="FF9D21"/>
              </a:solidFill>
            </c:spPr>
          </c:dPt>
          <c:dPt>
            <c:idx val="713"/>
            <c:spPr>
              <a:solidFill>
                <a:srgbClr val="DBDDA8"/>
              </a:solidFill>
            </c:spPr>
          </c:dPt>
          <c:dPt>
            <c:idx val="714"/>
            <c:spPr>
              <a:solidFill>
                <a:srgbClr val="9D887D"/>
              </a:solidFill>
            </c:spPr>
          </c:dPt>
          <c:dPt>
            <c:idx val="715"/>
            <c:spPr>
              <a:solidFill>
                <a:srgbClr val="D87B60"/>
              </a:solidFill>
            </c:spPr>
          </c:dPt>
          <c:dPt>
            <c:idx val="716"/>
            <c:spPr>
              <a:solidFill>
                <a:srgbClr val="8A1405"/>
              </a:solidFill>
            </c:spPr>
          </c:dPt>
          <c:dPt>
            <c:idx val="717"/>
            <c:spPr>
              <a:solidFill>
                <a:srgbClr val="83CA4F"/>
              </a:solidFill>
            </c:spPr>
          </c:dPt>
          <c:dPt>
            <c:idx val="718"/>
            <c:spPr>
              <a:solidFill>
                <a:srgbClr val="FFC96D"/>
              </a:solidFill>
            </c:spPr>
          </c:dPt>
          <c:dPt>
            <c:idx val="719"/>
            <c:spPr>
              <a:solidFill>
                <a:srgbClr val="13F1B9"/>
              </a:solidFill>
            </c:spPr>
          </c:dPt>
          <c:dPt>
            <c:idx val="720"/>
            <c:spPr>
              <a:solidFill>
                <a:srgbClr val="D6AD80"/>
              </a:solidFill>
            </c:spPr>
          </c:dPt>
          <c:dPt>
            <c:idx val="721"/>
            <c:spPr>
              <a:solidFill>
                <a:srgbClr val="DEB39D"/>
              </a:solidFill>
            </c:spPr>
          </c:dPt>
          <c:dPt>
            <c:idx val="722"/>
            <c:spPr>
              <a:solidFill>
                <a:srgbClr val="8B2850"/>
              </a:solidFill>
            </c:spPr>
          </c:dPt>
          <c:dPt>
            <c:idx val="723"/>
            <c:spPr>
              <a:solidFill>
                <a:srgbClr val="C0E483"/>
              </a:solidFill>
            </c:spPr>
          </c:dPt>
          <c:dPt>
            <c:idx val="724"/>
            <c:spPr>
              <a:solidFill>
                <a:srgbClr val="FFF5B9"/>
              </a:solidFill>
            </c:spPr>
          </c:dPt>
          <c:dPt>
            <c:idx val="725"/>
            <c:spPr>
              <a:solidFill>
                <a:srgbClr val="4A05CA"/>
              </a:solidFill>
            </c:spPr>
          </c:dPt>
          <c:dPt>
            <c:idx val="726"/>
            <c:spPr>
              <a:solidFill>
                <a:srgbClr val="0FD283"/>
              </a:solidFill>
            </c:spPr>
          </c:dPt>
          <c:dPt>
            <c:idx val="727"/>
            <c:spPr>
              <a:solidFill>
                <a:srgbClr val="E4EBDA"/>
              </a:solidFill>
            </c:spPr>
          </c:dPt>
          <c:dPt>
            <c:idx val="728"/>
            <c:spPr>
              <a:solidFill>
                <a:srgbClr val="8C3C9B"/>
              </a:solidFill>
            </c:spPr>
          </c:dPt>
          <c:dPt>
            <c:idx val="729"/>
            <c:spPr>
              <a:solidFill>
                <a:srgbClr val="FDFEB7"/>
              </a:solidFill>
            </c:spPr>
          </c:dPt>
          <c:dPt>
            <c:idx val="730"/>
            <c:spPr>
              <a:solidFill>
                <a:srgbClr val="FF2105"/>
              </a:solidFill>
            </c:spPr>
          </c:dPt>
          <c:dPt>
            <c:idx val="731"/>
            <c:spPr>
              <a:solidFill>
                <a:srgbClr val="8219DB"/>
              </a:solidFill>
            </c:spPr>
          </c:dPt>
          <c:dPt>
            <c:idx val="732"/>
            <c:spPr>
              <a:solidFill>
                <a:srgbClr val="47F687"/>
              </a:solidFill>
            </c:spPr>
          </c:dPt>
          <c:dPt>
            <c:idx val="733"/>
            <c:spPr>
              <a:solidFill>
                <a:srgbClr val="EB2416"/>
              </a:solidFill>
            </c:spPr>
          </c:dPt>
          <c:dPt>
            <c:idx val="734"/>
            <c:spPr>
              <a:solidFill>
                <a:srgbClr val="8D50E7"/>
              </a:solidFill>
            </c:spPr>
          </c:dPt>
          <c:dPt>
            <c:idx val="735"/>
            <c:spPr>
              <a:solidFill>
                <a:srgbClr val="3A18EA"/>
              </a:solidFill>
            </c:spPr>
          </c:dPt>
          <c:dPt>
            <c:idx val="736"/>
            <c:spPr>
              <a:solidFill>
                <a:srgbClr val="FF4D51"/>
              </a:solidFill>
            </c:spPr>
          </c:dPt>
          <c:dPt>
            <c:idx val="737"/>
            <c:spPr>
              <a:solidFill>
                <a:srgbClr val="B92DEC"/>
              </a:solidFill>
            </c:spPr>
          </c:dPt>
          <c:dPt>
            <c:idx val="738"/>
            <c:spPr>
              <a:solidFill>
                <a:srgbClr val="801B8A"/>
              </a:solidFill>
            </c:spPr>
          </c:dPt>
          <c:dPt>
            <c:idx val="739"/>
            <c:spPr>
              <a:solidFill>
                <a:srgbClr val="F15C53"/>
              </a:solidFill>
            </c:spPr>
          </c:dPt>
          <c:dPt>
            <c:idx val="740"/>
            <c:spPr>
              <a:solidFill>
                <a:srgbClr val="8F6432"/>
              </a:solidFill>
            </c:spPr>
          </c:dPt>
          <c:dPt>
            <c:idx val="741"/>
            <c:spPr>
              <a:solidFill>
                <a:srgbClr val="77321E"/>
              </a:solidFill>
            </c:spPr>
          </c:dPt>
          <c:dPt>
            <c:idx val="742"/>
            <c:spPr>
              <a:solidFill>
                <a:srgbClr val="FF789E"/>
              </a:solidFill>
            </c:spPr>
          </c:dPt>
          <c:dPt>
            <c:idx val="743"/>
            <c:spPr>
              <a:solidFill>
                <a:srgbClr val="F140FD"/>
              </a:solidFill>
            </c:spPr>
          </c:dPt>
          <c:dPt>
            <c:idx val="744"/>
            <c:spPr>
              <a:solidFill>
                <a:srgbClr val="B93F8D"/>
              </a:solidFill>
            </c:spPr>
          </c:dPt>
          <c:dPt>
            <c:idx val="745"/>
            <c:spPr>
              <a:solidFill>
                <a:srgbClr val="F7958F"/>
              </a:solidFill>
            </c:spPr>
          </c:dPt>
          <c:dPt>
            <c:idx val="746"/>
            <c:spPr>
              <a:solidFill>
                <a:srgbClr val="90787D"/>
              </a:solidFill>
            </c:spPr>
          </c:dPt>
          <c:dPt>
            <c:idx val="747"/>
            <c:spPr>
              <a:solidFill>
                <a:srgbClr val="B44C51"/>
              </a:solidFill>
            </c:spPr>
          </c:dPt>
          <c:dPt>
            <c:idx val="748"/>
            <c:spPr>
              <a:solidFill>
                <a:srgbClr val="FFA4EA"/>
              </a:solidFill>
            </c:spPr>
          </c:dPt>
          <c:dPt>
            <c:idx val="749"/>
            <c:spPr>
              <a:solidFill>
                <a:srgbClr val="28540E"/>
              </a:solidFill>
            </c:spPr>
          </c:dPt>
          <c:dPt>
            <c:idx val="750"/>
            <c:spPr>
              <a:solidFill>
                <a:srgbClr val="F26491"/>
              </a:solidFill>
            </c:spPr>
          </c:dPt>
          <c:dPt>
            <c:idx val="751"/>
            <c:spPr>
              <a:solidFill>
                <a:srgbClr val="FECDCC"/>
              </a:solidFill>
            </c:spPr>
          </c:dPt>
          <c:dPt>
            <c:idx val="752"/>
            <c:spPr>
              <a:solidFill>
                <a:srgbClr val="918DC9"/>
              </a:solidFill>
            </c:spPr>
          </c:dPt>
          <c:dPt>
            <c:idx val="753"/>
            <c:spPr>
              <a:solidFill>
                <a:srgbClr val="F16785"/>
              </a:solidFill>
            </c:spPr>
          </c:dPt>
          <c:dPt>
            <c:idx val="754"/>
            <c:spPr>
              <a:solidFill>
                <a:srgbClr val="FFD036"/>
              </a:solidFill>
            </c:spPr>
          </c:dPt>
          <c:dPt>
            <c:idx val="755"/>
            <c:spPr>
              <a:solidFill>
                <a:srgbClr val="606820"/>
              </a:solidFill>
            </c:spPr>
          </c:dPt>
          <c:dPt>
            <c:idx val="756"/>
            <c:spPr>
              <a:solidFill>
                <a:srgbClr val="2A8994"/>
              </a:solidFill>
            </c:spPr>
          </c:dPt>
          <c:dPt>
            <c:idx val="757"/>
            <c:spPr>
              <a:solidFill>
                <a:srgbClr val="040509"/>
              </a:solidFill>
            </c:spPr>
          </c:dPt>
          <c:dPt>
            <c:idx val="758"/>
            <c:spPr>
              <a:solidFill>
                <a:srgbClr val="92A114"/>
              </a:solidFill>
            </c:spPr>
          </c:dPt>
          <c:dPt>
            <c:idx val="759"/>
            <c:spPr>
              <a:solidFill>
                <a:srgbClr val="2D81B9"/>
              </a:solidFill>
            </c:spPr>
          </c:dPt>
          <c:dPt>
            <c:idx val="760"/>
            <c:spPr>
              <a:solidFill>
                <a:srgbClr val="FFFC82"/>
              </a:solidFill>
            </c:spPr>
          </c:dPt>
          <c:dPt>
            <c:idx val="761"/>
            <c:spPr>
              <a:solidFill>
                <a:srgbClr val="977C31"/>
              </a:solidFill>
            </c:spPr>
          </c:dPt>
          <c:dPt>
            <c:idx val="762"/>
            <c:spPr>
              <a:solidFill>
                <a:srgbClr val="63AD97"/>
              </a:solidFill>
            </c:spPr>
          </c:dPt>
          <c:dPt>
            <c:idx val="763"/>
            <c:spPr>
              <a:solidFill>
                <a:srgbClr val="0A3E45"/>
              </a:solidFill>
            </c:spPr>
          </c:dPt>
          <c:dPt>
            <c:idx val="764"/>
            <c:spPr>
              <a:solidFill>
                <a:srgbClr val="93B55F"/>
              </a:solidFill>
            </c:spPr>
          </c:dPt>
          <c:dPt>
            <c:idx val="765"/>
            <c:spPr>
              <a:solidFill>
                <a:srgbClr val="6A9BEC"/>
              </a:solidFill>
            </c:spPr>
          </c:dPt>
          <c:dPt>
            <c:idx val="766"/>
            <c:spPr>
              <a:solidFill>
                <a:srgbClr val="FF28CE"/>
              </a:solidFill>
            </c:spPr>
          </c:dPt>
          <c:dPt>
            <c:idx val="767"/>
            <c:spPr>
              <a:solidFill>
                <a:srgbClr val="CE9042"/>
              </a:solidFill>
            </c:spPr>
          </c:dPt>
          <c:dPt>
            <c:idx val="768"/>
            <c:spPr>
              <a:solidFill>
                <a:srgbClr val="9CD29A"/>
              </a:solidFill>
            </c:spPr>
          </c:dPt>
          <c:dPt>
            <c:idx val="769"/>
            <c:spPr>
              <a:solidFill>
                <a:srgbClr val="107682"/>
              </a:solidFill>
            </c:spPr>
          </c:dPt>
          <c:dPt>
            <c:idx val="770"/>
            <c:spPr>
              <a:solidFill>
                <a:srgbClr val="95C9AA"/>
              </a:solidFill>
            </c:spPr>
          </c:dPt>
          <c:dPt>
            <c:idx val="771"/>
            <c:spPr>
              <a:solidFill>
                <a:srgbClr val="A7B520"/>
              </a:solidFill>
            </c:spPr>
          </c:dPt>
          <c:dPt>
            <c:idx val="772"/>
            <c:spPr>
              <a:solidFill>
                <a:srgbClr val="FF531B"/>
              </a:solidFill>
            </c:spPr>
          </c:dPt>
          <c:dPt>
            <c:idx val="773"/>
            <c:spPr>
              <a:solidFill>
                <a:srgbClr val="06A353"/>
              </a:solidFill>
            </c:spPr>
          </c:dPt>
          <c:dPt>
            <c:idx val="774"/>
            <c:spPr>
              <a:solidFill>
                <a:srgbClr val="D4F69E"/>
              </a:solidFill>
            </c:spPr>
          </c:dPt>
          <c:dPt>
            <c:idx val="775"/>
            <c:spPr>
              <a:solidFill>
                <a:srgbClr val="17AFBE"/>
              </a:solidFill>
            </c:spPr>
          </c:dPt>
          <c:dPt>
            <c:idx val="776"/>
            <c:spPr>
              <a:solidFill>
                <a:srgbClr val="96DDF6"/>
              </a:solidFill>
            </c:spPr>
          </c:dPt>
          <c:dPt>
            <c:idx val="777"/>
            <c:spPr>
              <a:solidFill>
                <a:srgbClr val="E4CF53"/>
              </a:solidFill>
            </c:spPr>
          </c:dPt>
          <c:dPt>
            <c:idx val="778"/>
            <c:spPr>
              <a:solidFill>
                <a:srgbClr val="FF7F67"/>
              </a:solidFill>
            </c:spPr>
          </c:dPt>
          <c:dPt>
            <c:idx val="779"/>
            <c:spPr>
              <a:solidFill>
                <a:srgbClr val="3EB764"/>
              </a:solidFill>
            </c:spPr>
          </c:dPt>
          <c:dPt>
            <c:idx val="780"/>
            <c:spPr>
              <a:solidFill>
                <a:srgbClr val="0D1BA1"/>
              </a:solidFill>
            </c:spPr>
          </c:dPt>
          <c:dPt>
            <c:idx val="781"/>
            <c:spPr>
              <a:solidFill>
                <a:srgbClr val="1DE7FB"/>
              </a:solidFill>
            </c:spPr>
          </c:dPt>
          <c:dPt>
            <c:idx val="782"/>
            <c:spPr>
              <a:solidFill>
                <a:srgbClr val="97F141"/>
              </a:solidFill>
            </c:spPr>
          </c:dPt>
          <c:dPt>
            <c:idx val="783"/>
            <c:spPr>
              <a:solidFill>
                <a:srgbClr val="21E987"/>
              </a:solidFill>
            </c:spPr>
          </c:dPt>
          <c:dPt>
            <c:idx val="784"/>
            <c:spPr>
              <a:solidFill>
                <a:srgbClr val="FFABB3"/>
              </a:solidFill>
            </c:spPr>
          </c:dPt>
          <c:dPt>
            <c:idx val="785"/>
            <c:spPr>
              <a:solidFill>
                <a:srgbClr val="75CB75"/>
              </a:solidFill>
            </c:spPr>
          </c:dPt>
          <c:dPt>
            <c:idx val="786"/>
            <c:spPr>
              <a:solidFill>
                <a:srgbClr val="4640A4"/>
              </a:solidFill>
            </c:spPr>
          </c:dPt>
          <c:dPt>
            <c:idx val="787"/>
            <c:spPr>
              <a:solidFill>
                <a:srgbClr val="231F38"/>
              </a:solidFill>
            </c:spPr>
          </c:dPt>
          <c:dPt>
            <c:idx val="788"/>
            <c:spPr>
              <a:solidFill>
                <a:srgbClr val="98058C"/>
              </a:solidFill>
            </c:spPr>
          </c:dPt>
          <c:dPt>
            <c:idx val="789"/>
            <c:spPr>
              <a:solidFill>
                <a:srgbClr val="5E03BB"/>
              </a:solidFill>
            </c:spPr>
          </c:dPt>
          <c:dPt>
            <c:idx val="790"/>
            <c:spPr>
              <a:solidFill>
                <a:srgbClr val="FFD7FF"/>
              </a:solidFill>
            </c:spPr>
          </c:dPt>
          <c:dPt>
            <c:idx val="791"/>
            <c:spPr>
              <a:solidFill>
                <a:srgbClr val="ADDF86"/>
              </a:solidFill>
            </c:spPr>
          </c:dPt>
          <c:dPt>
            <c:idx val="792"/>
            <c:spPr>
              <a:solidFill>
                <a:srgbClr val="7E64A8"/>
              </a:solidFill>
            </c:spPr>
          </c:dPt>
          <c:dPt>
            <c:idx val="793"/>
            <c:spPr>
              <a:solidFill>
                <a:srgbClr val="2A5874"/>
              </a:solidFill>
            </c:spPr>
          </c:dPt>
          <c:dPt>
            <c:idx val="794"/>
            <c:spPr>
              <a:solidFill>
                <a:srgbClr val="9919D8"/>
              </a:solidFill>
            </c:spPr>
          </c:dPt>
          <c:dPt>
            <c:idx val="795"/>
            <c:spPr>
              <a:solidFill>
                <a:srgbClr val="9B1DEE"/>
              </a:solidFill>
            </c:spPr>
          </c:dPt>
          <c:dPt>
            <c:idx val="796"/>
            <c:spPr>
              <a:solidFill>
                <a:srgbClr val="FF034B"/>
              </a:solidFill>
            </c:spPr>
          </c:dPt>
          <c:dPt>
            <c:idx val="797"/>
            <c:spPr>
              <a:solidFill>
                <a:srgbClr val="E4F397"/>
              </a:solidFill>
            </c:spPr>
          </c:dPt>
          <c:dPt>
            <c:idx val="798"/>
            <c:spPr>
              <a:solidFill>
                <a:srgbClr val="B789AB"/>
              </a:solidFill>
            </c:spPr>
          </c:dPt>
          <c:dPt>
            <c:idx val="799"/>
            <c:spPr>
              <a:solidFill>
                <a:srgbClr val="3090B1"/>
              </a:solidFill>
            </c:spPr>
          </c:dPt>
          <c:dPt>
            <c:idx val="800"/>
            <c:spPr>
              <a:solidFill>
                <a:srgbClr val="9B2D23"/>
              </a:solidFill>
            </c:spPr>
          </c:dPt>
          <c:dPt>
            <c:idx val="801"/>
            <c:spPr>
              <a:solidFill>
                <a:srgbClr val="D83722"/>
              </a:solidFill>
            </c:spPr>
          </c:dPt>
          <c:dPt>
            <c:idx val="802"/>
            <c:spPr>
              <a:solidFill>
                <a:srgbClr val="FF2E98"/>
              </a:solidFill>
            </c:spPr>
          </c:dPt>
          <c:dPt>
            <c:idx val="803"/>
            <c:spPr>
              <a:solidFill>
                <a:srgbClr val="1C06A8"/>
              </a:solidFill>
            </c:spPr>
          </c:dPt>
          <c:dPt>
            <c:idx val="804"/>
            <c:spPr>
              <a:solidFill>
                <a:srgbClr val="F0ADAE"/>
              </a:solidFill>
            </c:spPr>
          </c:dPt>
          <c:dPt>
            <c:idx val="805"/>
            <c:spPr>
              <a:solidFill>
                <a:srgbClr val="36C9ED"/>
              </a:solidFill>
            </c:spPr>
          </c:dPt>
          <c:dPt>
            <c:idx val="806"/>
            <c:spPr>
              <a:solidFill>
                <a:srgbClr val="9C416E"/>
              </a:solidFill>
            </c:spPr>
          </c:dPt>
          <c:dPt>
            <c:idx val="807"/>
            <c:spPr>
              <a:solidFill>
                <a:srgbClr val="155155"/>
              </a:solidFill>
            </c:spPr>
          </c:dPt>
          <c:dPt>
            <c:idx val="808"/>
            <c:spPr>
              <a:solidFill>
                <a:srgbClr val="FF5AE4"/>
              </a:solidFill>
            </c:spPr>
          </c:dPt>
          <c:dPt>
            <c:idx val="809"/>
            <c:spPr>
              <a:solidFill>
                <a:srgbClr val="531AB9"/>
              </a:solidFill>
            </c:spPr>
          </c:dPt>
          <c:dPt>
            <c:idx val="810"/>
            <c:spPr>
              <a:solidFill>
                <a:srgbClr val="29D2B2"/>
              </a:solidFill>
            </c:spPr>
          </c:dPt>
          <c:dPt>
            <c:idx val="811"/>
            <c:spPr>
              <a:solidFill>
                <a:srgbClr val="3D012A"/>
              </a:solidFill>
            </c:spPr>
          </c:dPt>
          <c:dPt>
            <c:idx val="812"/>
            <c:spPr>
              <a:solidFill>
                <a:srgbClr val="9D56BA"/>
              </a:solidFill>
            </c:spPr>
          </c:dPt>
          <c:dPt>
            <c:idx val="813"/>
            <c:spPr>
              <a:solidFill>
                <a:srgbClr val="526C89"/>
              </a:solidFill>
            </c:spPr>
          </c:dPt>
          <c:dPt>
            <c:idx val="814"/>
            <c:spPr>
              <a:solidFill>
                <a:srgbClr val="FF8630"/>
              </a:solidFill>
            </c:spPr>
          </c:dPt>
          <c:dPt>
            <c:idx val="815"/>
            <c:spPr>
              <a:solidFill>
                <a:srgbClr val="8B2ECB"/>
              </a:solidFill>
            </c:spPr>
          </c:dPt>
          <c:dPt>
            <c:idx val="816"/>
            <c:spPr>
              <a:solidFill>
                <a:srgbClr val="61F7B5"/>
              </a:solidFill>
            </c:spPr>
          </c:dPt>
          <c:dPt>
            <c:idx val="817"/>
            <c:spPr>
              <a:solidFill>
                <a:srgbClr val="433967"/>
              </a:solidFill>
            </c:spPr>
          </c:dPt>
          <c:dPt>
            <c:idx val="818"/>
            <c:spPr>
              <a:solidFill>
                <a:srgbClr val="9E6A05"/>
              </a:solidFill>
            </c:spPr>
          </c:dPt>
          <c:dPt>
            <c:idx val="819"/>
            <c:spPr>
              <a:solidFill>
                <a:srgbClr val="8E86BD"/>
              </a:solidFill>
            </c:spPr>
          </c:dPt>
          <c:dPt>
            <c:idx val="820"/>
            <c:spPr>
              <a:solidFill>
                <a:srgbClr val="FFB27C"/>
              </a:solidFill>
            </c:spPr>
          </c:dPt>
          <c:dPt>
            <c:idx val="821"/>
            <c:spPr>
              <a:solidFill>
                <a:srgbClr val="C242DC"/>
              </a:solidFill>
            </c:spPr>
          </c:dPt>
          <c:dPt>
            <c:idx val="822"/>
            <c:spPr>
              <a:solidFill>
                <a:srgbClr val="9A1BB8"/>
              </a:solidFill>
            </c:spPr>
          </c:dPt>
          <c:dPt>
            <c:idx val="823"/>
            <c:spPr>
              <a:solidFill>
                <a:srgbClr val="4972A3"/>
              </a:solidFill>
            </c:spPr>
          </c:dPt>
          <c:dPt>
            <c:idx val="824"/>
            <c:spPr>
              <a:solidFill>
                <a:srgbClr val="9F7E50"/>
              </a:solidFill>
            </c:spPr>
          </c:dPt>
          <c:dPt>
            <c:idx val="825"/>
            <c:spPr>
              <a:solidFill>
                <a:srgbClr val="CBA0F0"/>
              </a:solidFill>
            </c:spPr>
          </c:dPt>
          <c:dPt>
            <c:idx val="826"/>
            <c:spPr>
              <a:solidFill>
                <a:srgbClr val="FFDEC8"/>
              </a:solidFill>
            </c:spPr>
          </c:dPt>
          <c:dPt>
            <c:idx val="827"/>
            <c:spPr>
              <a:solidFill>
                <a:srgbClr val="F956ED"/>
              </a:solidFill>
            </c:spPr>
          </c:dPt>
          <c:dPt>
            <c:idx val="828"/>
            <c:spPr>
              <a:solidFill>
                <a:srgbClr val="D340BB"/>
              </a:solidFill>
            </c:spPr>
          </c:dPt>
          <c:dPt>
            <c:idx val="829"/>
            <c:spPr>
              <a:solidFill>
                <a:srgbClr val="4FAAE0"/>
              </a:solidFill>
            </c:spPr>
          </c:dPt>
          <c:dPt>
            <c:idx val="830"/>
            <c:spPr>
              <a:solidFill>
                <a:srgbClr val="A1929B"/>
              </a:solidFill>
            </c:spPr>
          </c:dPt>
          <c:dPt>
            <c:idx val="831"/>
            <c:spPr>
              <a:solidFill>
                <a:srgbClr val="08BA24"/>
              </a:solidFill>
            </c:spPr>
          </c:dPt>
          <c:dPt>
            <c:idx val="832"/>
            <c:spPr>
              <a:solidFill>
                <a:srgbClr val="FF0915"/>
              </a:solidFill>
            </c:spPr>
          </c:dPt>
          <c:dPt>
            <c:idx val="833"/>
            <c:spPr>
              <a:solidFill>
                <a:srgbClr val="3169FE"/>
              </a:solidFill>
            </c:spPr>
          </c:dPt>
          <c:dPt>
            <c:idx val="834"/>
            <c:spPr>
              <a:solidFill>
                <a:srgbClr val="0B64BF"/>
              </a:solidFill>
            </c:spPr>
          </c:dPt>
          <c:dPt>
            <c:idx val="835"/>
            <c:spPr>
              <a:solidFill>
                <a:srgbClr val="56E31C"/>
              </a:solidFill>
            </c:spPr>
          </c:dPt>
          <c:dPt>
            <c:idx val="836"/>
            <c:spPr>
              <a:solidFill>
                <a:srgbClr val="A2A6E7"/>
              </a:solidFill>
            </c:spPr>
          </c:dPt>
          <c:dPt>
            <c:idx val="837"/>
            <c:spPr>
              <a:solidFill>
                <a:srgbClr val="45D457"/>
              </a:solidFill>
            </c:spPr>
          </c:dPt>
          <c:dPt>
            <c:idx val="838"/>
            <c:spPr>
              <a:solidFill>
                <a:srgbClr val="FF3561"/>
              </a:solidFill>
            </c:spPr>
          </c:dPt>
          <c:dPt>
            <c:idx val="839"/>
            <c:spPr>
              <a:solidFill>
                <a:srgbClr val="697D0F"/>
              </a:solidFill>
            </c:spPr>
          </c:dPt>
          <c:dPt>
            <c:idx val="840"/>
            <c:spPr>
              <a:solidFill>
                <a:srgbClr val="4489C2"/>
              </a:solidFill>
            </c:spPr>
          </c:dPt>
          <c:dPt>
            <c:idx val="841"/>
            <c:spPr>
              <a:solidFill>
                <a:srgbClr val="5C1B59"/>
              </a:solidFill>
            </c:spPr>
          </c:dPt>
          <c:dPt>
            <c:idx val="842"/>
            <c:spPr>
              <a:solidFill>
                <a:srgbClr val="A3BA32"/>
              </a:solidFill>
            </c:spPr>
          </c:dPt>
          <c:dPt>
            <c:idx val="843"/>
            <c:spPr>
              <a:solidFill>
                <a:srgbClr val="82EE8B"/>
              </a:solidFill>
            </c:spPr>
          </c:dPt>
          <c:dPt>
            <c:idx val="844"/>
            <c:spPr>
              <a:solidFill>
                <a:srgbClr val="FF61AD"/>
              </a:solidFill>
            </c:spPr>
          </c:dPt>
          <c:dPt>
            <c:idx val="845"/>
            <c:spPr>
              <a:solidFill>
                <a:srgbClr val="A09120"/>
              </a:solidFill>
            </c:spPr>
          </c:dPt>
          <c:dPt>
            <c:idx val="846"/>
            <c:spPr>
              <a:solidFill>
                <a:srgbClr val="7DAEC5"/>
              </a:solidFill>
            </c:spPr>
          </c:dPt>
          <c:dPt>
            <c:idx val="847"/>
            <c:spPr>
              <a:solidFill>
                <a:srgbClr val="625396"/>
              </a:solidFill>
            </c:spPr>
          </c:dPt>
          <c:dPt>
            <c:idx val="848"/>
            <c:spPr>
              <a:solidFill>
                <a:srgbClr val="A4CE7D"/>
              </a:solidFill>
            </c:spPr>
          </c:dPt>
          <c:dPt>
            <c:idx val="849"/>
            <c:spPr>
              <a:solidFill>
                <a:srgbClr val="BF08BF"/>
              </a:solidFill>
            </c:spPr>
          </c:dPt>
          <c:dPt>
            <c:idx val="850"/>
            <c:spPr>
              <a:solidFill>
                <a:srgbClr val="FF8DF9"/>
              </a:solidFill>
            </c:spPr>
          </c:dPt>
          <c:dPt>
            <c:idx val="851"/>
            <c:spPr>
              <a:solidFill>
                <a:srgbClr val="D8A531"/>
              </a:solidFill>
            </c:spPr>
          </c:dPt>
          <c:dPt>
            <c:idx val="852"/>
            <c:spPr>
              <a:solidFill>
                <a:srgbClr val="B5D2C9"/>
              </a:solidFill>
            </c:spPr>
          </c:dPt>
          <c:dPt>
            <c:idx val="853"/>
            <c:spPr>
              <a:solidFill>
                <a:srgbClr val="698CD2"/>
              </a:solidFill>
            </c:spPr>
          </c:dPt>
          <c:dPt>
            <c:idx val="854"/>
            <c:spPr>
              <a:solidFill>
                <a:srgbClr val="A5E2C9"/>
              </a:solidFill>
            </c:spPr>
          </c:dPt>
          <c:dPt>
            <c:idx val="855"/>
            <c:spPr>
              <a:solidFill>
                <a:srgbClr val="FC22F2"/>
              </a:solidFill>
            </c:spPr>
          </c:dPt>
          <c:dPt>
            <c:idx val="856"/>
            <c:spPr>
              <a:solidFill>
                <a:srgbClr val="FFB945"/>
              </a:solidFill>
            </c:spPr>
          </c:dPt>
          <c:dPt>
            <c:idx val="857"/>
            <c:spPr>
              <a:solidFill>
                <a:srgbClr val="0FB942"/>
              </a:solidFill>
            </c:spPr>
          </c:dPt>
          <c:dPt>
            <c:idx val="858"/>
            <c:spPr>
              <a:solidFill>
                <a:srgbClr val="EEF7CC"/>
              </a:solidFill>
            </c:spPr>
          </c:dPt>
          <c:dPt>
            <c:idx val="859"/>
            <c:spPr>
              <a:solidFill>
                <a:srgbClr val="6FC40F"/>
              </a:solidFill>
            </c:spPr>
          </c:dPt>
          <c:dPt>
            <c:idx val="860"/>
            <c:spPr>
              <a:solidFill>
                <a:srgbClr val="A7F614"/>
              </a:solidFill>
            </c:spPr>
          </c:dPt>
          <c:dPt>
            <c:idx val="861"/>
            <c:spPr>
              <a:solidFill>
                <a:srgbClr val="393C26"/>
              </a:solidFill>
            </c:spPr>
          </c:dPt>
          <c:dPt>
            <c:idx val="862"/>
            <c:spPr>
              <a:solidFill>
                <a:srgbClr val="FFE492"/>
              </a:solidFill>
            </c:spPr>
          </c:dPt>
          <c:dPt>
            <c:idx val="863"/>
            <c:spPr>
              <a:solidFill>
                <a:srgbClr val="47CC53"/>
              </a:solidFill>
            </c:spPr>
          </c:dPt>
          <c:dPt>
            <c:idx val="864"/>
            <c:spPr>
              <a:solidFill>
                <a:srgbClr val="271BCF"/>
              </a:solidFill>
            </c:spPr>
          </c:dPt>
          <c:dPt>
            <c:idx val="865"/>
            <c:spPr>
              <a:solidFill>
                <a:srgbClr val="75FD4B"/>
              </a:solidFill>
            </c:spPr>
          </c:dPt>
          <c:dPt>
            <c:idx val="866"/>
            <c:spPr>
              <a:solidFill>
                <a:srgbClr val="A80A5F"/>
              </a:solidFill>
            </c:spPr>
          </c:dPt>
          <c:dPt>
            <c:idx val="867"/>
            <c:spPr>
              <a:solidFill>
                <a:srgbClr val="765659"/>
              </a:solidFill>
            </c:spPr>
          </c:dPt>
          <c:dPt>
            <c:idx val="868"/>
            <c:spPr>
              <a:solidFill>
                <a:srgbClr val="FF10DE"/>
              </a:solidFill>
            </c:spPr>
          </c:dPt>
          <c:dPt>
            <c:idx val="869"/>
            <c:spPr>
              <a:solidFill>
                <a:srgbClr val="7EE064"/>
              </a:solidFill>
            </c:spPr>
          </c:dPt>
          <c:dPt>
            <c:idx val="870"/>
            <c:spPr>
              <a:solidFill>
                <a:srgbClr val="6040D3"/>
              </a:solidFill>
            </c:spPr>
          </c:dPt>
          <c:dPt>
            <c:idx val="871"/>
            <c:spPr>
              <a:solidFill>
                <a:srgbClr val="7C3588"/>
              </a:solidFill>
            </c:spPr>
          </c:dPt>
          <c:dPt>
            <c:idx val="872"/>
            <c:spPr>
              <a:solidFill>
                <a:srgbClr val="A91FAB"/>
              </a:solidFill>
            </c:spPr>
          </c:dPt>
          <c:dPt>
            <c:idx val="873"/>
            <c:spPr>
              <a:solidFill>
                <a:srgbClr val="B3718D"/>
              </a:solidFill>
            </c:spPr>
          </c:dPt>
          <c:dPt>
            <c:idx val="874"/>
            <c:spPr>
              <a:solidFill>
                <a:srgbClr val="FF3C2A"/>
              </a:solidFill>
            </c:spPr>
          </c:dPt>
          <c:dPt>
            <c:idx val="875"/>
            <c:spPr>
              <a:solidFill>
                <a:srgbClr val="B6F476"/>
              </a:solidFill>
            </c:spPr>
          </c:dPt>
          <c:dPt>
            <c:idx val="876"/>
            <c:spPr>
              <a:solidFill>
                <a:srgbClr val="9865D6"/>
              </a:solidFill>
            </c:spPr>
          </c:dPt>
          <c:dPt>
            <c:idx val="877"/>
            <c:spPr>
              <a:solidFill>
                <a:srgbClr val="826DC5"/>
              </a:solidFill>
            </c:spPr>
          </c:dPt>
          <c:dPt>
            <c:idx val="878"/>
            <c:spPr>
              <a:solidFill>
                <a:srgbClr val="AA33F6"/>
              </a:solidFill>
            </c:spPr>
          </c:dPt>
          <c:dPt>
            <c:idx val="879"/>
            <c:spPr>
              <a:solidFill>
                <a:srgbClr val="EF8BC1"/>
              </a:solidFill>
            </c:spPr>
          </c:dPt>
          <c:dPt>
            <c:idx val="880"/>
            <c:spPr>
              <a:solidFill>
                <a:srgbClr val="FF6876"/>
              </a:solidFill>
            </c:spPr>
          </c:dPt>
          <c:dPt>
            <c:idx val="881"/>
            <c:spPr>
              <a:solidFill>
                <a:srgbClr val="ED0887"/>
              </a:solidFill>
            </c:spPr>
          </c:dPt>
          <c:dPt>
            <c:idx val="882"/>
            <c:spPr>
              <a:solidFill>
                <a:srgbClr val="D189D9"/>
              </a:solidFill>
            </c:spPr>
          </c:dPt>
          <c:dPt>
            <c:idx val="883"/>
            <c:spPr>
              <a:solidFill>
                <a:srgbClr val="88A601"/>
              </a:solidFill>
            </c:spPr>
          </c:dPt>
          <c:dPt>
            <c:idx val="884"/>
            <c:spPr>
              <a:solidFill>
                <a:srgbClr val="AB4741"/>
              </a:solidFill>
            </c:spPr>
          </c:dPt>
          <c:dPt>
            <c:idx val="885"/>
            <c:spPr>
              <a:solidFill>
                <a:srgbClr val="2CA5F4"/>
              </a:solidFill>
            </c:spPr>
          </c:dPt>
          <c:dPt>
            <c:idx val="886"/>
            <c:spPr>
              <a:solidFill>
                <a:srgbClr val="FF94C2"/>
              </a:solidFill>
            </c:spPr>
          </c:dPt>
          <c:dPt>
            <c:idx val="887"/>
            <c:spPr>
              <a:solidFill>
                <a:srgbClr val="251C98"/>
              </a:solidFill>
            </c:spPr>
          </c:dPt>
          <c:dPt>
            <c:idx val="888"/>
            <c:spPr>
              <a:solidFill>
                <a:srgbClr val="0AAEDC"/>
              </a:solidFill>
            </c:spPr>
          </c:dPt>
          <c:dPt>
            <c:idx val="889"/>
            <c:spPr>
              <a:solidFill>
                <a:srgbClr val="8EDE3E"/>
              </a:solidFill>
            </c:spPr>
          </c:dPt>
          <c:dPt>
            <c:idx val="890"/>
            <c:spPr>
              <a:solidFill>
                <a:srgbClr val="AD5B8C"/>
              </a:solidFill>
            </c:spPr>
          </c:dPt>
          <c:dPt>
            <c:idx val="891"/>
            <c:spPr>
              <a:solidFill>
                <a:srgbClr val="69BF28"/>
              </a:solidFill>
            </c:spPr>
          </c:dPt>
          <c:dPt>
            <c:idx val="892"/>
            <c:spPr>
              <a:solidFill>
                <a:srgbClr val="FFBF0F"/>
              </a:solidFill>
            </c:spPr>
          </c:dPt>
          <c:dPt>
            <c:idx val="893"/>
            <c:spPr>
              <a:solidFill>
                <a:srgbClr val="5C2FA9"/>
              </a:solidFill>
            </c:spPr>
          </c:dPt>
          <c:dPt>
            <c:idx val="894"/>
            <c:spPr>
              <a:solidFill>
                <a:srgbClr val="42D2E0"/>
              </a:solidFill>
            </c:spPr>
          </c:dPt>
          <c:dPt>
            <c:idx val="895"/>
            <c:spPr>
              <a:solidFill>
                <a:srgbClr val="95177A"/>
              </a:solidFill>
            </c:spPr>
          </c:dPt>
          <c:dPt>
            <c:idx val="896"/>
            <c:spPr>
              <a:solidFill>
                <a:srgbClr val="AE6FD8"/>
              </a:solidFill>
            </c:spPr>
          </c:dPt>
          <c:dPt>
            <c:idx val="897"/>
            <c:spPr>
              <a:solidFill>
                <a:srgbClr val="A6D95B"/>
              </a:solidFill>
            </c:spPr>
          </c:dPt>
          <c:dPt>
            <c:idx val="898"/>
            <c:spPr>
              <a:solidFill>
                <a:srgbClr val="FFEB5B"/>
              </a:solidFill>
            </c:spPr>
          </c:dPt>
          <c:dPt>
            <c:idx val="899"/>
            <c:spPr>
              <a:solidFill>
                <a:srgbClr val="9443BA"/>
              </a:solidFill>
            </c:spPr>
          </c:dPt>
          <c:dPt>
            <c:idx val="900"/>
            <c:spPr>
              <a:solidFill>
                <a:srgbClr val="7BF7E3"/>
              </a:solidFill>
            </c:spPr>
          </c:dPt>
          <c:dPt>
            <c:idx val="901"/>
            <c:spPr>
              <a:solidFill>
                <a:srgbClr val="9B4FB7"/>
              </a:solidFill>
            </c:spPr>
          </c:dPt>
          <c:dPt>
            <c:idx val="902"/>
            <c:spPr>
              <a:solidFill>
                <a:srgbClr val="AF8323"/>
              </a:solidFill>
            </c:spPr>
          </c:dPt>
          <c:dPt>
            <c:idx val="903"/>
            <c:spPr>
              <a:solidFill>
                <a:srgbClr val="E3F38F"/>
              </a:solidFill>
            </c:spPr>
          </c:dPt>
          <c:dPt>
            <c:idx val="904"/>
            <c:spPr>
              <a:solidFill>
                <a:srgbClr val="FF17A7"/>
              </a:solidFill>
            </c:spPr>
          </c:dPt>
          <c:dPt>
            <c:idx val="905"/>
            <c:spPr>
              <a:solidFill>
                <a:srgbClr val="CB57CB"/>
              </a:solidFill>
            </c:spPr>
          </c:dPt>
          <c:dPt>
            <c:idx val="906"/>
            <c:spPr>
              <a:solidFill>
                <a:srgbClr val="B41CE6"/>
              </a:solidFill>
            </c:spPr>
          </c:dPt>
          <c:dPt>
            <c:idx val="907"/>
            <c:spPr>
              <a:solidFill>
                <a:srgbClr val="A187F4"/>
              </a:solidFill>
            </c:spPr>
          </c:dPt>
          <c:dPt>
            <c:idx val="908"/>
            <c:spPr>
              <a:solidFill>
                <a:srgbClr val="B0976E"/>
              </a:solidFill>
            </c:spPr>
          </c:dPt>
          <c:dPt>
            <c:idx val="909"/>
            <c:spPr>
              <a:solidFill>
                <a:srgbClr val="200DC3"/>
              </a:solidFill>
            </c:spPr>
          </c:dPt>
          <c:dPt>
            <c:idx val="910"/>
            <c:spPr>
              <a:solidFill>
                <a:srgbClr val="FF43F3"/>
              </a:solidFill>
            </c:spPr>
          </c:dPt>
          <c:dPt>
            <c:idx val="911"/>
            <c:spPr>
              <a:solidFill>
                <a:srgbClr val="036BDC"/>
              </a:solidFill>
            </c:spPr>
          </c:dPt>
          <c:dPt>
            <c:idx val="912"/>
            <c:spPr>
              <a:solidFill>
                <a:srgbClr val="EC40EA"/>
              </a:solidFill>
            </c:spPr>
          </c:dPt>
          <c:dPt>
            <c:idx val="913"/>
            <c:spPr>
              <a:solidFill>
                <a:srgbClr val="A8C030"/>
              </a:solidFill>
            </c:spPr>
          </c:dPt>
          <c:dPt>
            <c:idx val="914"/>
            <c:spPr>
              <a:solidFill>
                <a:srgbClr val="B1ABBA"/>
              </a:solidFill>
            </c:spPr>
          </c:dPt>
          <c:dPt>
            <c:idx val="915"/>
            <c:spPr>
              <a:solidFill>
                <a:srgbClr val="5D27F6"/>
              </a:solidFill>
            </c:spPr>
          </c:dPt>
          <c:dPt>
            <c:idx val="916"/>
            <c:spPr>
              <a:solidFill>
                <a:srgbClr val="FF6F3F"/>
              </a:solidFill>
            </c:spPr>
          </c:dPt>
          <c:dPt>
            <c:idx val="917"/>
            <c:spPr>
              <a:solidFill>
                <a:srgbClr val="3A7FED"/>
              </a:solidFill>
            </c:spPr>
          </c:dPt>
          <c:dPt>
            <c:idx val="918"/>
            <c:spPr>
              <a:solidFill>
                <a:srgbClr val="2565ED"/>
              </a:solidFill>
            </c:spPr>
          </c:dPt>
          <c:dPt>
            <c:idx val="919"/>
            <c:spPr>
              <a:solidFill>
                <a:srgbClr val="AEF86D"/>
              </a:solidFill>
            </c:spPr>
          </c:dPt>
          <c:dPt>
            <c:idx val="920"/>
            <c:spPr>
              <a:solidFill>
                <a:srgbClr val="B3BF05"/>
              </a:solidFill>
            </c:spPr>
          </c:dPt>
          <c:dPt>
            <c:idx val="921"/>
            <c:spPr>
              <a:solidFill>
                <a:srgbClr val="9A412A"/>
              </a:solidFill>
            </c:spPr>
          </c:dPt>
          <c:dPt>
            <c:idx val="922"/>
            <c:spPr>
              <a:solidFill>
                <a:srgbClr val="FF9A8C"/>
              </a:solidFill>
            </c:spPr>
          </c:dPt>
          <c:dPt>
            <c:idx val="923"/>
            <c:spPr>
              <a:solidFill>
                <a:srgbClr val="7292FE"/>
              </a:solidFill>
            </c:spPr>
          </c:dPt>
          <c:dPt>
            <c:idx val="924"/>
            <c:spPr>
              <a:solidFill>
                <a:srgbClr val="5E89F0"/>
              </a:solidFill>
            </c:spPr>
          </c:dPt>
          <c:dPt>
            <c:idx val="925"/>
            <c:spPr>
              <a:solidFill>
                <a:srgbClr val="B431A9"/>
              </a:solidFill>
            </c:spPr>
          </c:dPt>
          <c:dPt>
            <c:idx val="926"/>
            <c:spPr>
              <a:solidFill>
                <a:srgbClr val="B4D350"/>
              </a:solidFill>
            </c:spPr>
          </c:dPt>
          <c:dPt>
            <c:idx val="927"/>
            <c:spPr>
              <a:solidFill>
                <a:srgbClr val="D75B5D"/>
              </a:solidFill>
            </c:spPr>
          </c:dPt>
          <c:dPt>
            <c:idx val="928"/>
            <c:spPr>
              <a:solidFill>
                <a:srgbClr val="FFC6D8"/>
              </a:solidFill>
            </c:spPr>
          </c:dPt>
          <c:dPt>
            <c:idx val="929"/>
            <c:spPr>
              <a:solidFill>
                <a:srgbClr val="A9A60F"/>
              </a:solidFill>
            </c:spPr>
          </c:dPt>
          <c:dPt>
            <c:idx val="930"/>
            <c:spPr>
              <a:solidFill>
                <a:srgbClr val="97AEF4"/>
              </a:solidFill>
            </c:spPr>
          </c:dPt>
          <c:dPt>
            <c:idx val="931"/>
            <c:spPr>
              <a:solidFill>
                <a:srgbClr val="BB69E6"/>
              </a:solidFill>
            </c:spPr>
          </c:dPt>
          <c:dPt>
            <c:idx val="932"/>
            <c:spPr>
              <a:solidFill>
                <a:srgbClr val="B5E89C"/>
              </a:solidFill>
            </c:spPr>
          </c:dPt>
          <c:dPt>
            <c:idx val="933"/>
            <c:spPr>
              <a:solidFill>
                <a:srgbClr val="147691"/>
              </a:solidFill>
            </c:spPr>
          </c:dPt>
          <c:dPt>
            <c:idx val="934"/>
            <c:spPr>
              <a:solidFill>
                <a:srgbClr val="FFF224"/>
              </a:solidFill>
            </c:spPr>
          </c:dPt>
          <c:dPt>
            <c:idx val="935"/>
            <c:spPr>
              <a:solidFill>
                <a:srgbClr val="E1BA21"/>
              </a:solidFill>
            </c:spPr>
          </c:dPt>
          <c:dPt>
            <c:idx val="936"/>
            <c:spPr>
              <a:solidFill>
                <a:srgbClr val="CFD3F7"/>
              </a:solidFill>
            </c:spPr>
          </c:dPt>
          <c:dPt>
            <c:idx val="937"/>
            <c:spPr>
              <a:solidFill>
                <a:srgbClr val="C1A123"/>
              </a:solidFill>
            </c:spPr>
          </c:dPt>
          <c:dPt>
            <c:idx val="938"/>
            <c:spPr>
              <a:solidFill>
                <a:srgbClr val="B6FCE7"/>
              </a:solidFill>
            </c:spPr>
          </c:dPt>
          <c:dPt>
            <c:idx val="939"/>
            <c:spPr>
              <a:solidFill>
                <a:srgbClr val="5090C5"/>
              </a:solidFill>
            </c:spPr>
          </c:dPt>
          <c:dPt>
            <c:idx val="940"/>
            <c:spPr>
              <a:solidFill>
                <a:srgbClr val="FF1E70"/>
              </a:solidFill>
            </c:spPr>
          </c:dPt>
          <c:dPt>
            <c:idx val="941"/>
            <c:spPr>
              <a:solidFill>
                <a:srgbClr val="18CE32"/>
              </a:solidFill>
            </c:spPr>
          </c:dPt>
          <c:dPt>
            <c:idx val="942"/>
            <c:spPr>
              <a:solidFill>
                <a:srgbClr val="08F7FA"/>
              </a:solidFill>
            </c:spPr>
          </c:dPt>
          <c:dPt>
            <c:idx val="943"/>
            <c:spPr>
              <a:solidFill>
                <a:srgbClr val="C7DA5F"/>
              </a:solidFill>
            </c:spPr>
          </c:dPt>
          <c:dPt>
            <c:idx val="944"/>
            <c:spPr>
              <a:solidFill>
                <a:srgbClr val="B71032"/>
              </a:solidFill>
            </c:spPr>
          </c:dPt>
          <c:dPt>
            <c:idx val="945"/>
            <c:spPr>
              <a:solidFill>
                <a:srgbClr val="8DAAF8"/>
              </a:solidFill>
            </c:spPr>
          </c:dPt>
          <c:dPt>
            <c:idx val="946"/>
            <c:spPr>
              <a:solidFill>
                <a:srgbClr val="FF4ABC"/>
              </a:solidFill>
            </c:spPr>
          </c:dPt>
          <c:dPt>
            <c:idx val="947"/>
            <c:spPr>
              <a:solidFill>
                <a:srgbClr val="50E243"/>
              </a:solidFill>
            </c:spPr>
          </c:dPt>
          <c:dPt>
            <c:idx val="948"/>
            <c:spPr>
              <a:solidFill>
                <a:srgbClr val="411CFD"/>
              </a:solidFill>
            </c:spPr>
          </c:dPt>
          <c:dPt>
            <c:idx val="949"/>
            <c:spPr>
              <a:solidFill>
                <a:srgbClr val="CD129C"/>
              </a:solidFill>
            </c:spPr>
          </c:dPt>
          <c:dPt>
            <c:idx val="950"/>
            <c:spPr>
              <a:solidFill>
                <a:srgbClr val="B9247D"/>
              </a:solidFill>
            </c:spPr>
          </c:dPt>
          <c:dPt>
            <c:idx val="951"/>
            <c:spPr>
              <a:solidFill>
                <a:srgbClr val="CAC42C"/>
              </a:solidFill>
            </c:spPr>
          </c:dPt>
          <c:dPt>
            <c:idx val="952"/>
            <c:spPr>
              <a:solidFill>
                <a:srgbClr val="FF7509"/>
              </a:solidFill>
            </c:spPr>
          </c:dPt>
          <c:dPt>
            <c:idx val="953"/>
            <c:spPr>
              <a:solidFill>
                <a:srgbClr val="87F554"/>
              </a:solidFill>
            </c:spPr>
          </c:dPt>
          <c:dPt>
            <c:idx val="954"/>
            <c:spPr>
              <a:solidFill>
                <a:srgbClr val="794001"/>
              </a:solidFill>
            </c:spPr>
          </c:dPt>
          <c:dPt>
            <c:idx val="955"/>
            <c:spPr>
              <a:solidFill>
                <a:srgbClr val="D44BD8"/>
              </a:solidFill>
            </c:spPr>
          </c:dPt>
          <c:dPt>
            <c:idx val="956"/>
            <c:spPr>
              <a:solidFill>
                <a:srgbClr val="BA38C9"/>
              </a:solidFill>
            </c:spPr>
          </c:dPt>
          <c:dPt>
            <c:idx val="957"/>
            <c:spPr>
              <a:solidFill>
                <a:srgbClr val="07DE5F"/>
              </a:solidFill>
            </c:spPr>
          </c:dPt>
          <c:dPt>
            <c:idx val="958"/>
            <c:spPr>
              <a:solidFill>
                <a:srgbClr val="FFA155"/>
              </a:solidFill>
            </c:spPr>
          </c:dPt>
          <c:dPt>
            <c:idx val="959"/>
            <c:spPr>
              <a:solidFill>
                <a:srgbClr val="BF0965"/>
              </a:solidFill>
            </c:spPr>
          </c:dPt>
          <c:dPt>
            <c:idx val="960"/>
            <c:spPr>
              <a:solidFill>
                <a:srgbClr val="B26504"/>
              </a:solidFill>
            </c:spPr>
          </c:dPt>
          <c:dPt>
            <c:idx val="961"/>
            <c:spPr>
              <a:solidFill>
                <a:srgbClr val="DA8315"/>
              </a:solidFill>
            </c:spPr>
          </c:dPt>
          <c:dPt>
            <c:idx val="962"/>
            <c:spPr>
              <a:solidFill>
                <a:srgbClr val="BB4C14"/>
              </a:solidFill>
            </c:spPr>
          </c:dPt>
          <c:dPt>
            <c:idx val="963"/>
            <c:spPr>
              <a:solidFill>
                <a:srgbClr val="44F893"/>
              </a:solidFill>
            </c:spPr>
          </c:dPt>
          <c:dPt>
            <c:idx val="964"/>
            <c:spPr>
              <a:solidFill>
                <a:srgbClr val="FFCDA1"/>
              </a:solidFill>
            </c:spPr>
          </c:dPt>
          <c:dPt>
            <c:idx val="965"/>
            <c:spPr>
              <a:solidFill>
                <a:srgbClr val="F61D76"/>
              </a:solidFill>
            </c:spPr>
          </c:dPt>
          <c:dPt>
            <c:idx val="966"/>
            <c:spPr>
              <a:solidFill>
                <a:srgbClr val="EB8A07"/>
              </a:solidFill>
            </c:spPr>
          </c:dPt>
          <c:dPt>
            <c:idx val="967"/>
            <c:spPr>
              <a:solidFill>
                <a:srgbClr val="E0BB52"/>
              </a:solidFill>
            </c:spPr>
          </c:dPt>
          <c:dPt>
            <c:idx val="968"/>
            <c:spPr>
              <a:solidFill>
                <a:srgbClr val="BC605F"/>
              </a:solidFill>
            </c:spPr>
          </c:dPt>
          <c:dPt>
            <c:idx val="969"/>
            <c:spPr>
              <a:solidFill>
                <a:srgbClr val="8112C7"/>
              </a:solidFill>
            </c:spPr>
          </c:dPt>
          <c:dPt>
            <c:idx val="970"/>
            <c:spPr>
              <a:solidFill>
                <a:srgbClr val="FFF9ED"/>
              </a:solidFill>
            </c:spPr>
          </c:dPt>
          <c:dPt>
            <c:idx val="971"/>
            <c:spPr>
              <a:solidFill>
                <a:srgbClr val="2E3187"/>
              </a:solidFill>
            </c:spPr>
          </c:dPt>
          <c:dPt>
            <c:idx val="972"/>
            <c:spPr>
              <a:solidFill>
                <a:srgbClr val="23AE0B"/>
              </a:solidFill>
            </c:spPr>
          </c:dPt>
          <c:dPt>
            <c:idx val="973"/>
            <c:spPr>
              <a:solidFill>
                <a:srgbClr val="E7F48E"/>
              </a:solidFill>
            </c:spPr>
          </c:dPt>
          <c:dPt>
            <c:idx val="974"/>
            <c:spPr>
              <a:solidFill>
                <a:srgbClr val="BD74AB"/>
              </a:solidFill>
            </c:spPr>
          </c:dPt>
          <c:dPt>
            <c:idx val="975"/>
            <c:spPr>
              <a:solidFill>
                <a:srgbClr val="BE2CFA"/>
              </a:solidFill>
            </c:spPr>
          </c:dPt>
          <c:dPt>
            <c:idx val="976"/>
            <c:spPr>
              <a:solidFill>
                <a:srgbClr val="FF2539"/>
              </a:solidFill>
            </c:spPr>
          </c:dPt>
          <c:dPt>
            <c:idx val="977"/>
            <c:spPr>
              <a:solidFill>
                <a:srgbClr val="654598"/>
              </a:solidFill>
            </c:spPr>
          </c:dPt>
          <c:dPt>
            <c:idx val="978"/>
            <c:spPr>
              <a:solidFill>
                <a:srgbClr val="5CD30E"/>
              </a:solidFill>
            </c:spPr>
          </c:dPt>
          <c:dPt>
            <c:idx val="979"/>
            <c:spPr>
              <a:solidFill>
                <a:srgbClr val="ED2CCB"/>
              </a:solidFill>
            </c:spPr>
          </c:dPt>
          <c:dPt>
            <c:idx val="980"/>
            <c:spPr>
              <a:solidFill>
                <a:srgbClr val="BF88F6"/>
              </a:solidFill>
            </c:spPr>
          </c:dPt>
          <c:dPt>
            <c:idx val="981"/>
            <c:spPr>
              <a:solidFill>
                <a:srgbClr val="FB462E"/>
              </a:solidFill>
            </c:spPr>
          </c:dPt>
          <c:dPt>
            <c:idx val="982"/>
            <c:spPr>
              <a:solidFill>
                <a:srgbClr val="FF5086"/>
              </a:solidFill>
            </c:spPr>
          </c:dPt>
          <c:dPt>
            <c:idx val="983"/>
            <c:spPr>
              <a:solidFill>
                <a:srgbClr val="9D58A9"/>
              </a:solidFill>
            </c:spPr>
          </c:dPt>
          <c:dPt>
            <c:idx val="984"/>
            <c:spPr>
              <a:solidFill>
                <a:srgbClr val="95F711"/>
              </a:solidFill>
            </c:spPr>
          </c:dPt>
          <c:dPt>
            <c:idx val="985"/>
            <c:spPr>
              <a:solidFill>
                <a:srgbClr val="F36507"/>
              </a:solidFill>
            </c:spPr>
          </c:dPt>
          <c:dPt>
            <c:idx val="986"/>
            <c:spPr>
              <a:solidFill>
                <a:srgbClr val="C09C41"/>
              </a:solidFill>
            </c:spPr>
          </c:dPt>
          <c:dPt>
            <c:idx val="987"/>
            <c:spPr>
              <a:solidFill>
                <a:srgbClr val="386061"/>
              </a:solidFill>
            </c:spPr>
          </c:dPt>
          <c:dPt>
            <c:idx val="988"/>
            <c:spPr>
              <a:solidFill>
                <a:srgbClr val="FF7CD2"/>
              </a:solidFill>
            </c:spPr>
          </c:dPt>
          <c:dPt>
            <c:idx val="989"/>
            <c:spPr>
              <a:solidFill>
                <a:srgbClr val="D46CBA"/>
              </a:solidFill>
            </c:spPr>
          </c:dPt>
          <c:dPt>
            <c:idx val="990"/>
            <c:spPr>
              <a:solidFill>
                <a:srgbClr val="CE1C15"/>
              </a:solidFill>
            </c:spPr>
          </c:dPt>
          <c:dPt>
            <c:idx val="991"/>
            <c:spPr>
              <a:solidFill>
                <a:srgbClr val="FA9D44"/>
              </a:solidFill>
            </c:spPr>
          </c:dPt>
          <c:dPt>
            <c:idx val="992"/>
            <c:spPr>
              <a:solidFill>
                <a:srgbClr val="C1B18D"/>
              </a:solidFill>
            </c:spPr>
          </c:dPt>
          <c:dPt>
            <c:idx val="993"/>
            <c:spPr>
              <a:solidFill>
                <a:srgbClr val="757B95"/>
              </a:solidFill>
            </c:spPr>
          </c:dPt>
          <c:dPt>
            <c:idx val="994"/>
            <c:spPr>
              <a:solidFill>
                <a:srgbClr val="FFA81E"/>
              </a:solidFill>
            </c:spPr>
          </c:dPt>
          <c:dPt>
            <c:idx val="995"/>
            <c:spPr>
              <a:solidFill>
                <a:srgbClr val="0C80CC"/>
              </a:solidFill>
            </c:spPr>
          </c:dPt>
          <c:dPt>
            <c:idx val="996"/>
            <c:spPr>
              <a:solidFill>
                <a:srgbClr val="064118"/>
              </a:solidFill>
            </c:spPr>
          </c:dPt>
          <c:dPt>
            <c:idx val="997"/>
            <c:spPr>
              <a:solidFill>
                <a:srgbClr val="00D581"/>
              </a:solidFill>
            </c:spPr>
          </c:dPt>
          <c:dPt>
            <c:idx val="998"/>
            <c:spPr>
              <a:solidFill>
                <a:srgbClr val="C2C5D8"/>
              </a:solidFill>
            </c:spPr>
          </c:dPt>
          <c:dPt>
            <c:idx val="999"/>
            <c:spPr>
              <a:solidFill>
                <a:srgbClr val="B195C9"/>
              </a:solidFill>
            </c:spPr>
          </c:dPt>
          <c:dPt>
            <c:idx val="1000"/>
            <c:spPr>
              <a:solidFill>
                <a:srgbClr val="FFD46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Expenses!$E$1:$E$1001</c:f>
            </c:strRef>
          </c:cat>
          <c:val>
            <c:numRef>
              <c:f>Expenses!$F$1:$F$1001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Cash Flow (Inflow vs Outflow)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D7D32"/>
            </a:solidFill>
            <a:ln cmpd="sng">
              <a:solidFill>
                <a:srgbClr val="000000"/>
              </a:solidFill>
            </a:ln>
          </c:spPr>
          <c:cat>
            <c:strRef>
              <c:f>'Copy of Dashboard'!$H$1:$H$15</c:f>
            </c:strRef>
          </c:cat>
          <c:val>
            <c:numRef>
              <c:f>'Copy of Dashboard'!$I$1:$I$15</c:f>
              <c:numCache/>
            </c:numRef>
          </c:val>
        </c:ser>
        <c:ser>
          <c:idx val="1"/>
          <c:order val="1"/>
          <c:spPr>
            <a:solidFill>
              <a:srgbClr val="C62828"/>
            </a:solidFill>
            <a:ln cmpd="sng">
              <a:solidFill>
                <a:srgbClr val="000000"/>
              </a:solidFill>
            </a:ln>
          </c:spPr>
          <c:cat>
            <c:strRef>
              <c:f>'Copy of Dashboard'!$H$1:$H$15</c:f>
            </c:strRef>
          </c:cat>
          <c:val>
            <c:numRef>
              <c:f>'Copy of Dashboard'!$J$1:$J$15</c:f>
              <c:numCache/>
            </c:numRef>
          </c:val>
        </c:ser>
        <c:axId val="62742434"/>
        <c:axId val="953690372"/>
      </c:barChart>
      <c:catAx>
        <c:axId val="62742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690372"/>
      </c:catAx>
      <c:valAx>
        <c:axId val="953690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42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Breakdown by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Pt>
            <c:idx val="112"/>
            <c:spPr>
              <a:solidFill>
                <a:srgbClr val="FF815D"/>
              </a:solidFill>
            </c:spPr>
          </c:dPt>
          <c:dPt>
            <c:idx val="113"/>
            <c:spPr>
              <a:solidFill>
                <a:srgbClr val="2D21FA"/>
              </a:solidFill>
            </c:spPr>
          </c:dPt>
          <c:dPt>
            <c:idx val="114"/>
            <c:spPr>
              <a:solidFill>
                <a:srgbClr val="773C33"/>
              </a:solidFill>
            </c:spPr>
          </c:dPt>
          <c:dPt>
            <c:idx val="115"/>
            <c:spPr>
              <a:solidFill>
                <a:srgbClr val="6273B4"/>
              </a:solidFill>
            </c:spPr>
          </c:dPt>
          <c:dPt>
            <c:idx val="116"/>
            <c:spPr>
              <a:solidFill>
                <a:srgbClr val="123A9B"/>
              </a:solidFill>
            </c:spPr>
          </c:dPt>
          <c:dPt>
            <c:idx val="117"/>
            <c:spPr>
              <a:solidFill>
                <a:srgbClr val="B99827"/>
              </a:solidFill>
            </c:spPr>
          </c:dPt>
          <c:dPt>
            <c:idx val="118"/>
            <c:spPr>
              <a:solidFill>
                <a:srgbClr val="FFADA9"/>
              </a:solidFill>
            </c:spPr>
          </c:dPt>
          <c:dPt>
            <c:idx val="119"/>
            <c:spPr>
              <a:solidFill>
                <a:srgbClr val="65350B"/>
              </a:solidFill>
            </c:spPr>
          </c:dPt>
          <c:dPt>
            <c:idx val="120"/>
            <c:spPr>
              <a:solidFill>
                <a:srgbClr val="B06136"/>
              </a:solidFill>
            </c:spPr>
          </c:dPt>
          <c:dPt>
            <c:idx val="121"/>
            <c:spPr>
              <a:solidFill>
                <a:srgbClr val="68ABF1"/>
              </a:solidFill>
            </c:spPr>
          </c:dPt>
          <c:dPt>
            <c:idx val="122"/>
            <c:spPr>
              <a:solidFill>
                <a:srgbClr val="134EE6"/>
              </a:solidFill>
            </c:spPr>
          </c:dPt>
          <c:dPt>
            <c:idx val="123"/>
            <c:spPr>
              <a:solidFill>
                <a:srgbClr val="F6B25B"/>
              </a:solidFill>
            </c:spPr>
          </c:dPt>
          <c:dPt>
            <c:idx val="124"/>
            <c:spPr>
              <a:solidFill>
                <a:srgbClr val="FFD9F5"/>
              </a:solidFill>
            </c:spPr>
          </c:dPt>
          <c:dPt>
            <c:idx val="125"/>
            <c:spPr>
              <a:solidFill>
                <a:srgbClr val="9C491C"/>
              </a:solidFill>
            </c:spPr>
          </c:dPt>
          <c:dPt>
            <c:idx val="126"/>
            <c:spPr>
              <a:solidFill>
                <a:srgbClr val="E98639"/>
              </a:solidFill>
            </c:spPr>
          </c:dPt>
          <c:dPt>
            <c:idx val="127"/>
            <c:spPr>
              <a:solidFill>
                <a:srgbClr val="6EE32E"/>
              </a:solidFill>
            </c:spPr>
          </c:dPt>
          <c:dPt>
            <c:idx val="128"/>
            <c:spPr>
              <a:solidFill>
                <a:srgbClr val="146231"/>
              </a:solidFill>
            </c:spPr>
          </c:dPt>
          <c:dPt>
            <c:idx val="129"/>
            <c:spPr>
              <a:solidFill>
                <a:srgbClr val="33CC8F"/>
              </a:solidFill>
            </c:spPr>
          </c:dPt>
          <c:dPt>
            <c:idx val="130"/>
            <c:spPr>
              <a:solidFill>
                <a:srgbClr val="FF0541"/>
              </a:solidFill>
            </c:spPr>
          </c:dPt>
          <c:dPt>
            <c:idx val="131"/>
            <c:spPr>
              <a:solidFill>
                <a:srgbClr val="D45D2D"/>
              </a:solidFill>
            </c:spPr>
          </c:dPt>
          <c:dPt>
            <c:idx val="132"/>
            <c:spPr>
              <a:solidFill>
                <a:srgbClr val="21AA3D"/>
              </a:solidFill>
            </c:spPr>
          </c:dPt>
          <c:dPt>
            <c:idx val="133"/>
            <c:spPr>
              <a:solidFill>
                <a:srgbClr val="751C6A"/>
              </a:solidFill>
            </c:spPr>
          </c:dPt>
          <c:dPt>
            <c:idx val="134"/>
            <c:spPr>
              <a:solidFill>
                <a:srgbClr val="15767D"/>
              </a:solidFill>
            </c:spPr>
          </c:dPt>
          <c:dPt>
            <c:idx val="135"/>
            <c:spPr>
              <a:solidFill>
                <a:srgbClr val="70E6C2"/>
              </a:solidFill>
            </c:spPr>
          </c:dPt>
          <c:dPt>
            <c:idx val="136"/>
            <c:spPr>
              <a:solidFill>
                <a:srgbClr val="FF318D"/>
              </a:solidFill>
            </c:spPr>
          </c:dPt>
          <c:dPt>
            <c:idx val="137"/>
            <c:spPr>
              <a:solidFill>
                <a:srgbClr val="0B713E"/>
              </a:solidFill>
            </c:spPr>
          </c:dPt>
          <c:dPt>
            <c:idx val="138"/>
            <c:spPr>
              <a:solidFill>
                <a:srgbClr val="5ACF40"/>
              </a:solidFill>
            </c:spPr>
          </c:dPt>
          <c:dPt>
            <c:idx val="139"/>
            <c:spPr>
              <a:solidFill>
                <a:srgbClr val="7B54A7"/>
              </a:solidFill>
            </c:spPr>
          </c:dPt>
          <c:dPt>
            <c:idx val="140"/>
            <c:spPr>
              <a:solidFill>
                <a:srgbClr val="178AC8"/>
              </a:solidFill>
            </c:spPr>
          </c:dPt>
          <c:dPt>
            <c:idx val="141"/>
            <c:spPr>
              <a:solidFill>
                <a:srgbClr val="AD00F6"/>
              </a:solidFill>
            </c:spPr>
          </c:dPt>
          <c:dPt>
            <c:idx val="142"/>
            <c:spPr>
              <a:solidFill>
                <a:srgbClr val="FF5CDA"/>
              </a:solidFill>
            </c:spPr>
          </c:dPt>
          <c:dPt>
            <c:idx val="143"/>
            <c:spPr>
              <a:solidFill>
                <a:srgbClr val="43844F"/>
              </a:solidFill>
            </c:spPr>
          </c:dPt>
          <c:dPt>
            <c:idx val="144"/>
            <c:spPr>
              <a:solidFill>
                <a:srgbClr val="93F343"/>
              </a:solidFill>
            </c:spPr>
          </c:dPt>
          <c:dPt>
            <c:idx val="145"/>
            <c:spPr>
              <a:solidFill>
                <a:srgbClr val="818DE3"/>
              </a:solidFill>
            </c:spPr>
          </c:dPt>
          <c:dPt>
            <c:idx val="146"/>
            <c:spPr>
              <a:solidFill>
                <a:srgbClr val="189E13"/>
              </a:solidFill>
            </c:spPr>
          </c:dPt>
          <c:dPt>
            <c:idx val="147"/>
            <c:spPr>
              <a:solidFill>
                <a:srgbClr val="EA1A29"/>
              </a:solidFill>
            </c:spPr>
          </c:dPt>
          <c:dPt>
            <c:idx val="148"/>
            <c:spPr>
              <a:solidFill>
                <a:srgbClr val="FF8826"/>
              </a:solidFill>
            </c:spPr>
          </c:dPt>
          <c:dPt>
            <c:idx val="149"/>
            <c:spPr>
              <a:solidFill>
                <a:srgbClr val="7A9860"/>
              </a:solidFill>
            </c:spPr>
          </c:dPt>
          <c:dPt>
            <c:idx val="150"/>
            <c:spPr>
              <a:solidFill>
                <a:srgbClr val="CC1847"/>
              </a:solidFill>
            </c:spPr>
          </c:dPt>
          <c:dPt>
            <c:idx val="151"/>
            <c:spPr>
              <a:solidFill>
                <a:srgbClr val="88C520"/>
              </a:solidFill>
            </c:spPr>
          </c:dPt>
          <c:dPt>
            <c:idx val="152"/>
            <c:spPr>
              <a:solidFill>
                <a:srgbClr val="19B35F"/>
              </a:solidFill>
            </c:spPr>
          </c:dPt>
          <c:dPt>
            <c:idx val="153"/>
            <c:spPr>
              <a:solidFill>
                <a:srgbClr val="27355D"/>
              </a:solidFill>
            </c:spPr>
          </c:dPt>
          <c:dPt>
            <c:idx val="154"/>
            <c:spPr>
              <a:solidFill>
                <a:srgbClr val="FFB472"/>
              </a:solidFill>
            </c:spPr>
          </c:dPt>
          <c:dPt>
            <c:idx val="155"/>
            <c:spPr>
              <a:solidFill>
                <a:srgbClr val="B2AC72"/>
              </a:solidFill>
            </c:spPr>
          </c:dPt>
          <c:dPt>
            <c:idx val="156"/>
            <c:spPr>
              <a:solidFill>
                <a:srgbClr val="043D4A"/>
              </a:solidFill>
            </c:spPr>
          </c:dPt>
          <c:dPt>
            <c:idx val="157"/>
            <c:spPr>
              <a:solidFill>
                <a:srgbClr val="8EFD5D"/>
              </a:solidFill>
            </c:spPr>
          </c:dPt>
          <c:dPt>
            <c:idx val="158"/>
            <c:spPr>
              <a:solidFill>
                <a:srgbClr val="1AC7AA"/>
              </a:solidFill>
            </c:spPr>
          </c:dPt>
          <c:dPt>
            <c:idx val="159"/>
            <c:spPr>
              <a:solidFill>
                <a:srgbClr val="634F91"/>
              </a:solidFill>
            </c:spPr>
          </c:dPt>
          <c:dPt>
            <c:idx val="160"/>
            <c:spPr>
              <a:solidFill>
                <a:srgbClr val="FFE0BE"/>
              </a:solidFill>
            </c:spPr>
          </c:dPt>
          <c:dPt>
            <c:idx val="161"/>
            <c:spPr>
              <a:solidFill>
                <a:srgbClr val="E9C083"/>
              </a:solidFill>
            </c:spPr>
          </c:dPt>
          <c:dPt>
            <c:idx val="162"/>
            <c:spPr>
              <a:solidFill>
                <a:srgbClr val="3D614D"/>
              </a:solidFill>
            </c:spPr>
          </c:dPt>
          <c:dPt>
            <c:idx val="163"/>
            <c:spPr>
              <a:solidFill>
                <a:srgbClr val="943699"/>
              </a:solidFill>
            </c:spPr>
          </c:dPt>
          <c:dPt>
            <c:idx val="164"/>
            <c:spPr>
              <a:solidFill>
                <a:srgbClr val="1BDBF5"/>
              </a:solidFill>
            </c:spPr>
          </c:dPt>
          <c:dPt>
            <c:idx val="165"/>
            <c:spPr>
              <a:solidFill>
                <a:srgbClr val="A069C4"/>
              </a:solidFill>
            </c:spPr>
          </c:dPt>
          <c:dPt>
            <c:idx val="166"/>
            <c:spPr>
              <a:solidFill>
                <a:srgbClr val="FF0C0A"/>
              </a:solidFill>
            </c:spPr>
          </c:dPt>
          <c:dPt>
            <c:idx val="167"/>
            <c:spPr>
              <a:solidFill>
                <a:srgbClr val="21D494"/>
              </a:solidFill>
            </c:spPr>
          </c:dPt>
          <c:dPt>
            <c:idx val="168"/>
            <c:spPr>
              <a:solidFill>
                <a:srgbClr val="768650"/>
              </a:solidFill>
            </c:spPr>
          </c:dPt>
          <c:dPt>
            <c:idx val="169"/>
            <c:spPr>
              <a:solidFill>
                <a:srgbClr val="9A6ED6"/>
              </a:solidFill>
            </c:spPr>
          </c:dPt>
          <c:dPt>
            <c:idx val="170"/>
            <c:spPr>
              <a:solidFill>
                <a:srgbClr val="1DEF40"/>
              </a:solidFill>
            </c:spPr>
          </c:dPt>
          <c:dPt>
            <c:idx val="171"/>
            <c:spPr>
              <a:solidFill>
                <a:srgbClr val="DD83F8"/>
              </a:solidFill>
            </c:spPr>
          </c:dPt>
          <c:dPt>
            <c:idx val="172"/>
            <c:spPr>
              <a:solidFill>
                <a:srgbClr val="FF3757"/>
              </a:solidFill>
            </c:spPr>
          </c:dPt>
          <c:dPt>
            <c:idx val="173"/>
            <c:spPr>
              <a:solidFill>
                <a:srgbClr val="58E7A5"/>
              </a:solidFill>
            </c:spPr>
          </c:dPt>
          <c:dPt>
            <c:idx val="174"/>
            <c:spPr>
              <a:solidFill>
                <a:srgbClr val="AEAA54"/>
              </a:solidFill>
            </c:spPr>
          </c:dPt>
          <c:dPt>
            <c:idx val="175"/>
            <c:spPr>
              <a:solidFill>
                <a:srgbClr val="A1A712"/>
              </a:solidFill>
            </c:spPr>
          </c:dPt>
          <c:dPt>
            <c:idx val="176"/>
            <c:spPr>
              <a:solidFill>
                <a:srgbClr val="1E038C"/>
              </a:solidFill>
            </c:spPr>
          </c:dPt>
          <c:dPt>
            <c:idx val="177"/>
            <c:spPr>
              <a:solidFill>
                <a:srgbClr val="1A9D2B"/>
              </a:solidFill>
            </c:spPr>
          </c:dPt>
          <c:dPt>
            <c:idx val="178"/>
            <c:spPr>
              <a:solidFill>
                <a:srgbClr val="FF63A3"/>
              </a:solidFill>
            </c:spPr>
          </c:dPt>
          <c:dPt>
            <c:idx val="179"/>
            <c:spPr>
              <a:solidFill>
                <a:srgbClr val="90FBB6"/>
              </a:solidFill>
            </c:spPr>
          </c:dPt>
          <c:dPt>
            <c:idx val="180"/>
            <c:spPr>
              <a:solidFill>
                <a:srgbClr val="E7CF57"/>
              </a:solidFill>
            </c:spPr>
          </c:dPt>
          <c:dPt>
            <c:idx val="181"/>
            <c:spPr>
              <a:solidFill>
                <a:srgbClr val="A7DF4F"/>
              </a:solidFill>
            </c:spPr>
          </c:dPt>
          <c:dPt>
            <c:idx val="182"/>
            <c:spPr>
              <a:solidFill>
                <a:srgbClr val="1F17D7"/>
              </a:solidFill>
            </c:spPr>
          </c:dPt>
          <c:dPt>
            <c:idx val="183"/>
            <c:spPr>
              <a:solidFill>
                <a:srgbClr val="57B75F"/>
              </a:solidFill>
            </c:spPr>
          </c:dPt>
          <c:dPt>
            <c:idx val="184"/>
            <c:spPr>
              <a:solidFill>
                <a:srgbClr val="FF8FEF"/>
              </a:solidFill>
            </c:spPr>
          </c:dPt>
          <c:dPt>
            <c:idx val="185"/>
            <c:spPr>
              <a:solidFill>
                <a:srgbClr val="C70FC7"/>
              </a:solidFill>
            </c:spPr>
          </c:dPt>
          <c:dPt>
            <c:idx val="186"/>
            <c:spPr>
              <a:solidFill>
                <a:srgbClr val="20F45A"/>
              </a:solidFill>
            </c:spPr>
          </c:dPt>
          <c:dPt>
            <c:idx val="187"/>
            <c:spPr>
              <a:solidFill>
                <a:srgbClr val="AD178C"/>
              </a:solidFill>
            </c:spPr>
          </c:dPt>
          <c:dPt>
            <c:idx val="188"/>
            <c:spPr>
              <a:solidFill>
                <a:srgbClr val="202B22"/>
              </a:solidFill>
            </c:spPr>
          </c:dPt>
          <c:dPt>
            <c:idx val="189"/>
            <c:spPr>
              <a:solidFill>
                <a:srgbClr val="94D193"/>
              </a:solidFill>
            </c:spPr>
          </c:dPt>
          <c:dPt>
            <c:idx val="190"/>
            <c:spPr>
              <a:solidFill>
                <a:srgbClr val="FFBB3B"/>
              </a:solidFill>
            </c:spPr>
          </c:dPt>
          <c:dPt>
            <c:idx val="191"/>
            <c:spPr>
              <a:solidFill>
                <a:srgbClr val="FF23D8"/>
              </a:solidFill>
            </c:spPr>
          </c:dPt>
          <c:dPt>
            <c:idx val="192"/>
            <c:spPr>
              <a:solidFill>
                <a:srgbClr val="58185E"/>
              </a:solidFill>
            </c:spPr>
          </c:dPt>
          <c:dPt>
            <c:idx val="193"/>
            <c:spPr>
              <a:solidFill>
                <a:srgbClr val="B450C8"/>
              </a:solidFill>
            </c:spPr>
          </c:dPt>
          <c:dPt>
            <c:idx val="194"/>
            <c:spPr>
              <a:solidFill>
                <a:srgbClr val="213F6E"/>
              </a:solidFill>
            </c:spPr>
          </c:dPt>
          <c:dPt>
            <c:idx val="195"/>
            <c:spPr>
              <a:solidFill>
                <a:srgbClr val="D1EBC6"/>
              </a:solidFill>
            </c:spPr>
          </c:dPt>
          <c:dPt>
            <c:idx val="196"/>
            <c:spPr>
              <a:solidFill>
                <a:srgbClr val="FFE787"/>
              </a:solidFill>
            </c:spPr>
          </c:dPt>
          <c:dPt>
            <c:idx val="197"/>
            <c:spPr>
              <a:solidFill>
                <a:srgbClr val="3637E9"/>
              </a:solidFill>
            </c:spPr>
          </c:dPt>
          <c:dPt>
            <c:idx val="198"/>
            <c:spPr>
              <a:solidFill>
                <a:srgbClr val="913D61"/>
              </a:solidFill>
            </c:spPr>
          </c:dPt>
          <c:dPt>
            <c:idx val="199"/>
            <c:spPr>
              <a:solidFill>
                <a:srgbClr val="BA8805"/>
              </a:solidFill>
            </c:spPr>
          </c:dPt>
          <c:dPt>
            <c:idx val="200"/>
            <c:spPr>
              <a:solidFill>
                <a:srgbClr val="2353B9"/>
              </a:solidFill>
            </c:spPr>
          </c:dPt>
          <c:dPt>
            <c:idx val="201"/>
            <c:spPr>
              <a:solidFill>
                <a:srgbClr val="0E05FA"/>
              </a:solidFill>
            </c:spPr>
          </c:dPt>
          <c:dPt>
            <c:idx val="202"/>
            <c:spPr>
              <a:solidFill>
                <a:srgbClr val="FF12D4"/>
              </a:solidFill>
            </c:spPr>
          </c:dPt>
          <c:dPt>
            <c:idx val="203"/>
            <c:spPr>
              <a:solidFill>
                <a:srgbClr val="6D4AFA"/>
              </a:solidFill>
            </c:spPr>
          </c:dPt>
          <c:dPt>
            <c:idx val="204"/>
            <c:spPr>
              <a:solidFill>
                <a:srgbClr val="CA6164"/>
              </a:solidFill>
            </c:spPr>
          </c:dPt>
          <c:dPt>
            <c:idx val="205"/>
            <c:spPr>
              <a:solidFill>
                <a:srgbClr val="C0C141"/>
              </a:solidFill>
            </c:spPr>
          </c:dPt>
          <c:dPt>
            <c:idx val="206"/>
            <c:spPr>
              <a:solidFill>
                <a:srgbClr val="246704"/>
              </a:solidFill>
            </c:spPr>
          </c:dPt>
          <c:dPt>
            <c:idx val="207"/>
            <c:spPr>
              <a:solidFill>
                <a:srgbClr val="4B1F2D"/>
              </a:solidFill>
            </c:spPr>
          </c:dPt>
          <c:dPt>
            <c:idx val="208"/>
            <c:spPr>
              <a:solidFill>
                <a:srgbClr val="FF3E20"/>
              </a:solidFill>
            </c:spPr>
          </c:dPt>
          <c:dPt>
            <c:idx val="209"/>
            <c:spPr>
              <a:solidFill>
                <a:srgbClr val="A55E0B"/>
              </a:solidFill>
            </c:spPr>
          </c:dPt>
          <c:dPt>
            <c:idx val="210"/>
            <c:spPr>
              <a:solidFill>
                <a:srgbClr val="038668"/>
              </a:solidFill>
            </c:spPr>
          </c:dPt>
          <c:dPt>
            <c:idx val="211"/>
            <c:spPr>
              <a:solidFill>
                <a:srgbClr val="C7F97E"/>
              </a:solidFill>
            </c:spPr>
          </c:dPt>
          <c:dPt>
            <c:idx val="212"/>
            <c:spPr>
              <a:solidFill>
                <a:srgbClr val="257C50"/>
              </a:solidFill>
            </c:spPr>
          </c:dPt>
          <c:dPt>
            <c:idx val="213"/>
            <c:spPr>
              <a:solidFill>
                <a:srgbClr val="883A61"/>
              </a:solidFill>
            </c:spPr>
          </c:dPt>
          <c:dPt>
            <c:idx val="214"/>
            <c:spPr>
              <a:solidFill>
                <a:srgbClr val="FF6A6C"/>
              </a:solidFill>
            </c:spPr>
          </c:dPt>
          <c:dPt>
            <c:idx val="215"/>
            <c:spPr>
              <a:solidFill>
                <a:srgbClr val="DD721D"/>
              </a:solidFill>
            </c:spPr>
          </c:dPt>
          <c:dPt>
            <c:idx val="216"/>
            <c:spPr>
              <a:solidFill>
                <a:srgbClr val="3BAB6B"/>
              </a:solidFill>
            </c:spPr>
          </c:dPt>
          <c:dPt>
            <c:idx val="217"/>
            <c:spPr>
              <a:solidFill>
                <a:srgbClr val="CD31BB"/>
              </a:solidFill>
            </c:spPr>
          </c:dPt>
          <c:dPt>
            <c:idx val="218"/>
            <c:spPr>
              <a:solidFill>
                <a:srgbClr val="26909B"/>
              </a:solidFill>
            </c:spPr>
          </c:dPt>
          <c:dPt>
            <c:idx val="219"/>
            <c:spPr>
              <a:solidFill>
                <a:srgbClr val="C45495"/>
              </a:solidFill>
            </c:spPr>
          </c:dPt>
          <c:dPt>
            <c:idx val="220"/>
            <c:spPr>
              <a:solidFill>
                <a:srgbClr val="FF96B8"/>
              </a:solidFill>
            </c:spPr>
          </c:dPt>
          <c:dPt>
            <c:idx val="221"/>
            <c:spPr>
              <a:solidFill>
                <a:srgbClr val="14862E"/>
              </a:solidFill>
            </c:spPr>
          </c:dPt>
          <c:dPt>
            <c:idx val="222"/>
            <c:spPr>
              <a:solidFill>
                <a:srgbClr val="74CF6E"/>
              </a:solidFill>
            </c:spPr>
          </c:dPt>
          <c:dPt>
            <c:idx val="223"/>
            <c:spPr>
              <a:solidFill>
                <a:srgbClr val="D36AF7"/>
              </a:solidFill>
            </c:spPr>
          </c:dPt>
          <c:dPt>
            <c:idx val="224"/>
            <c:spPr>
              <a:solidFill>
                <a:srgbClr val="27A4E6"/>
              </a:solidFill>
            </c:spPr>
          </c:dPt>
          <c:dPt>
            <c:idx val="225"/>
            <c:spPr>
              <a:solidFill>
                <a:srgbClr val="016EC8"/>
              </a:solidFill>
            </c:spPr>
          </c:dPt>
          <c:dPt>
            <c:idx val="226"/>
            <c:spPr>
              <a:solidFill>
                <a:srgbClr val="FFC204"/>
              </a:solidFill>
            </c:spPr>
          </c:dPt>
          <c:dPt>
            <c:idx val="227"/>
            <c:spPr>
              <a:solidFill>
                <a:srgbClr val="4C9A3F"/>
              </a:solidFill>
            </c:spPr>
          </c:dPt>
          <c:dPt>
            <c:idx val="228"/>
            <c:spPr>
              <a:solidFill>
                <a:srgbClr val="ADF471"/>
              </a:solidFill>
            </c:spPr>
          </c:dPt>
          <c:dPt>
            <c:idx val="229"/>
            <c:spPr>
              <a:solidFill>
                <a:srgbClr val="D9A234"/>
              </a:solidFill>
            </c:spPr>
          </c:dPt>
          <c:dPt>
            <c:idx val="230"/>
            <c:spPr>
              <a:solidFill>
                <a:srgbClr val="29B831"/>
              </a:solidFill>
            </c:spPr>
          </c:dPt>
          <c:dPt>
            <c:idx val="231"/>
            <c:spPr>
              <a:solidFill>
                <a:srgbClr val="3E88FC"/>
              </a:solidFill>
            </c:spPr>
          </c:dPt>
          <c:dPt>
            <c:idx val="232"/>
            <c:spPr>
              <a:solidFill>
                <a:srgbClr val="FFED51"/>
              </a:solidFill>
            </c:spPr>
          </c:dPt>
          <c:dPt>
            <c:idx val="233"/>
            <c:spPr>
              <a:solidFill>
                <a:srgbClr val="83AD50"/>
              </a:solidFill>
            </c:spPr>
          </c:dPt>
          <c:dPt>
            <c:idx val="234"/>
            <c:spPr>
              <a:solidFill>
                <a:srgbClr val="E51875"/>
              </a:solidFill>
            </c:spPr>
          </c:dPt>
          <c:dPt>
            <c:idx val="235"/>
            <c:spPr>
              <a:solidFill>
                <a:srgbClr val="E0DB70"/>
              </a:solidFill>
            </c:spPr>
          </c:dPt>
          <c:dPt>
            <c:idx val="236"/>
            <c:spPr>
              <a:solidFill>
                <a:srgbClr val="2ACC7D"/>
              </a:solidFill>
            </c:spPr>
          </c:dPt>
          <c:dPt>
            <c:idx val="237"/>
            <c:spPr>
              <a:solidFill>
                <a:srgbClr val="7BA22F"/>
              </a:solidFill>
            </c:spPr>
          </c:dPt>
          <c:dPt>
            <c:idx val="238"/>
            <c:spPr>
              <a:solidFill>
                <a:srgbClr val="FF199D"/>
              </a:solidFill>
            </c:spPr>
          </c:dPt>
          <c:dPt>
            <c:idx val="239"/>
            <c:spPr>
              <a:solidFill>
                <a:srgbClr val="BBC161"/>
              </a:solidFill>
            </c:spPr>
          </c:dPt>
          <c:dPt>
            <c:idx val="240"/>
            <c:spPr>
              <a:solidFill>
                <a:srgbClr val="1E3D78"/>
              </a:solidFill>
            </c:spPr>
          </c:dPt>
          <c:dPt>
            <c:idx val="241"/>
            <c:spPr>
              <a:solidFill>
                <a:srgbClr val="E613AD"/>
              </a:solidFill>
            </c:spPr>
          </c:dPt>
          <c:dPt>
            <c:idx val="242"/>
            <c:spPr>
              <a:solidFill>
                <a:srgbClr val="2BE0C8"/>
              </a:solidFill>
            </c:spPr>
          </c:dPt>
          <c:dPt>
            <c:idx val="243"/>
            <c:spPr>
              <a:solidFill>
                <a:srgbClr val="B8BC63"/>
              </a:solidFill>
            </c:spPr>
          </c:dPt>
          <c:dPt>
            <c:idx val="244"/>
            <c:spPr>
              <a:solidFill>
                <a:srgbClr val="FF45E9"/>
              </a:solidFill>
            </c:spPr>
          </c:dPt>
          <c:dPt>
            <c:idx val="245"/>
            <c:spPr>
              <a:solidFill>
                <a:srgbClr val="F2D572"/>
              </a:solidFill>
            </c:spPr>
          </c:dPt>
          <c:dPt>
            <c:idx val="246"/>
            <c:spPr>
              <a:solidFill>
                <a:srgbClr val="57627B"/>
              </a:solidFill>
            </c:spPr>
          </c:dPt>
          <c:dPt>
            <c:idx val="247"/>
            <c:spPr>
              <a:solidFill>
                <a:srgbClr val="EC4BEA"/>
              </a:solidFill>
            </c:spPr>
          </c:dPt>
          <c:dPt>
            <c:idx val="248"/>
            <c:spPr>
              <a:solidFill>
                <a:srgbClr val="2CF413"/>
              </a:solidFill>
            </c:spPr>
          </c:dPt>
          <c:dPt>
            <c:idx val="249"/>
            <c:spPr>
              <a:solidFill>
                <a:srgbClr val="F5D697"/>
              </a:solidFill>
            </c:spPr>
          </c:dPt>
          <c:dPt>
            <c:idx val="250"/>
            <c:spPr>
              <a:solidFill>
                <a:srgbClr val="FF7135"/>
              </a:solidFill>
            </c:spPr>
          </c:dPt>
          <c:dPt>
            <c:idx val="251"/>
            <c:spPr>
              <a:solidFill>
                <a:srgbClr val="2AE983"/>
              </a:solidFill>
            </c:spPr>
          </c:dPt>
          <c:dPt>
            <c:idx val="252"/>
            <c:spPr>
              <a:solidFill>
                <a:srgbClr val="8F867F"/>
              </a:solidFill>
            </c:spPr>
          </c:dPt>
          <c:dPt>
            <c:idx val="253"/>
            <c:spPr>
              <a:solidFill>
                <a:srgbClr val="F38426"/>
              </a:solidFill>
            </c:spPr>
          </c:dPt>
          <c:dPt>
            <c:idx val="254"/>
            <c:spPr>
              <a:solidFill>
                <a:srgbClr val="2D085F"/>
              </a:solidFill>
            </c:spPr>
          </c:dPt>
          <c:dPt>
            <c:idx val="255"/>
            <c:spPr>
              <a:solidFill>
                <a:srgbClr val="32F0CA"/>
              </a:solidFill>
            </c:spPr>
          </c:dPt>
          <c:dPt>
            <c:idx val="256"/>
            <c:spPr>
              <a:solidFill>
                <a:srgbClr val="FF9D81"/>
              </a:solidFill>
            </c:spPr>
          </c:dPt>
          <c:dPt>
            <c:idx val="257"/>
            <c:spPr>
              <a:solidFill>
                <a:srgbClr val="61FD94"/>
              </a:solidFill>
            </c:spPr>
          </c:dPt>
          <c:dPt>
            <c:idx val="258"/>
            <c:spPr>
              <a:solidFill>
                <a:srgbClr val="C8AB82"/>
              </a:solidFill>
            </c:spPr>
          </c:dPt>
          <c:dPt>
            <c:idx val="259"/>
            <c:spPr>
              <a:solidFill>
                <a:srgbClr val="F9BC63"/>
              </a:solidFill>
            </c:spPr>
          </c:dPt>
          <c:dPt>
            <c:idx val="260"/>
            <c:spPr>
              <a:solidFill>
                <a:srgbClr val="2F1CAA"/>
              </a:solidFill>
            </c:spPr>
          </c:dPt>
          <c:dPt>
            <c:idx val="261"/>
            <c:spPr>
              <a:solidFill>
                <a:srgbClr val="6F0AFE"/>
              </a:solidFill>
            </c:spPr>
          </c:dPt>
          <c:dPt>
            <c:idx val="262"/>
            <c:spPr>
              <a:solidFill>
                <a:srgbClr val="FFC8CE"/>
              </a:solidFill>
            </c:spPr>
          </c:dPt>
          <c:dPt>
            <c:idx val="263"/>
            <c:spPr>
              <a:solidFill>
                <a:srgbClr val="9910A5"/>
              </a:solidFill>
            </c:spPr>
          </c:dPt>
          <c:dPt>
            <c:idx val="264"/>
            <c:spPr>
              <a:solidFill>
                <a:srgbClr val="01CF85"/>
              </a:solidFill>
            </c:spPr>
          </c:dPt>
          <c:dPt>
            <c:idx val="265"/>
            <c:spPr>
              <a:solidFill>
                <a:srgbClr val="FFF59F"/>
              </a:solidFill>
            </c:spPr>
          </c:dPt>
          <c:dPt>
            <c:idx val="266"/>
            <c:spPr>
              <a:solidFill>
                <a:srgbClr val="3030F5"/>
              </a:solidFill>
            </c:spPr>
          </c:dPt>
          <c:dPt>
            <c:idx val="267"/>
            <c:spPr>
              <a:solidFill>
                <a:srgbClr val="AC2431"/>
              </a:solidFill>
            </c:spPr>
          </c:dPt>
          <c:dPt>
            <c:idx val="268"/>
            <c:spPr>
              <a:solidFill>
                <a:srgbClr val="FFF41A"/>
              </a:solidFill>
            </c:spPr>
          </c:dPt>
          <c:dPt>
            <c:idx val="269"/>
            <c:spPr>
              <a:solidFill>
                <a:srgbClr val="D024B6"/>
              </a:solidFill>
            </c:spPr>
          </c:dPt>
          <c:dPt>
            <c:idx val="270"/>
            <c:spPr>
              <a:solidFill>
                <a:srgbClr val="3AF489"/>
              </a:solidFill>
            </c:spPr>
          </c:dPt>
          <c:dPt>
            <c:idx val="271"/>
            <c:spPr>
              <a:solidFill>
                <a:srgbClr val="062DDC"/>
              </a:solidFill>
            </c:spPr>
          </c:dPt>
          <c:dPt>
            <c:idx val="272"/>
            <c:spPr>
              <a:solidFill>
                <a:srgbClr val="314541"/>
              </a:solidFill>
            </c:spPr>
          </c:dPt>
          <c:dPt>
            <c:idx val="273"/>
            <c:spPr>
              <a:solidFill>
                <a:srgbClr val="E93F65"/>
              </a:solidFill>
            </c:spPr>
          </c:dPt>
          <c:dPt>
            <c:idx val="274"/>
            <c:spPr>
              <a:solidFill>
                <a:srgbClr val="FF2066"/>
              </a:solidFill>
            </c:spPr>
          </c:dPt>
          <c:dPt>
            <c:idx val="275"/>
            <c:spPr>
              <a:solidFill>
                <a:srgbClr val="0838C8"/>
              </a:solidFill>
            </c:spPr>
          </c:dPt>
          <c:dPt>
            <c:idx val="276"/>
            <c:spPr>
              <a:solidFill>
                <a:srgbClr val="72198C"/>
              </a:solidFill>
            </c:spPr>
          </c:dPt>
          <c:dPt>
            <c:idx val="277"/>
            <c:spPr>
              <a:solidFill>
                <a:srgbClr val="0C6519"/>
              </a:solidFill>
            </c:spPr>
          </c:dPt>
          <c:dPt>
            <c:idx val="278"/>
            <c:spPr>
              <a:solidFill>
                <a:srgbClr val="32598C"/>
              </a:solidFill>
            </c:spPr>
          </c:dPt>
          <c:dPt>
            <c:idx val="279"/>
            <c:spPr>
              <a:solidFill>
                <a:srgbClr val="255999"/>
              </a:solidFill>
            </c:spPr>
          </c:dPt>
          <c:dPt>
            <c:idx val="280"/>
            <c:spPr>
              <a:solidFill>
                <a:srgbClr val="FF4CB2"/>
              </a:solidFill>
            </c:spPr>
          </c:dPt>
          <c:dPt>
            <c:idx val="281"/>
            <c:spPr>
              <a:solidFill>
                <a:srgbClr val="3F4CD9"/>
              </a:solidFill>
            </c:spPr>
          </c:dPt>
          <c:dPt>
            <c:idx val="282"/>
            <c:spPr>
              <a:solidFill>
                <a:srgbClr val="AB3D8F"/>
              </a:solidFill>
            </c:spPr>
          </c:dPt>
          <c:dPt>
            <c:idx val="283"/>
            <c:spPr>
              <a:solidFill>
                <a:srgbClr val="129E55"/>
              </a:solidFill>
            </c:spPr>
          </c:dPt>
          <c:dPt>
            <c:idx val="284"/>
            <c:spPr>
              <a:solidFill>
                <a:srgbClr val="336DD7"/>
              </a:solidFill>
            </c:spPr>
          </c:dPt>
          <c:dPt>
            <c:idx val="285"/>
            <c:spPr>
              <a:solidFill>
                <a:srgbClr val="6273CC"/>
              </a:solidFill>
            </c:spPr>
          </c:dPt>
          <c:dPt>
            <c:idx val="286"/>
            <c:spPr>
              <a:solidFill>
                <a:srgbClr val="FF78FE"/>
              </a:solidFill>
            </c:spPr>
          </c:dPt>
          <c:dPt>
            <c:idx val="287"/>
            <c:spPr>
              <a:solidFill>
                <a:srgbClr val="7760EA"/>
              </a:solidFill>
            </c:spPr>
          </c:dPt>
          <c:dPt>
            <c:idx val="288"/>
            <c:spPr>
              <a:solidFill>
                <a:srgbClr val="E46292"/>
              </a:solidFill>
            </c:spPr>
          </c:dPt>
          <c:dPt>
            <c:idx val="289"/>
            <c:spPr>
              <a:solidFill>
                <a:srgbClr val="18D692"/>
              </a:solidFill>
            </c:spPr>
          </c:dPt>
          <c:dPt>
            <c:idx val="290"/>
            <c:spPr>
              <a:solidFill>
                <a:srgbClr val="358122"/>
              </a:solidFill>
            </c:spPr>
          </c:dPt>
          <c:dPt>
            <c:idx val="291"/>
            <c:spPr>
              <a:solidFill>
                <a:srgbClr val="9F8D00"/>
              </a:solidFill>
            </c:spPr>
          </c:dPt>
          <c:dPt>
            <c:idx val="292"/>
            <c:spPr>
              <a:solidFill>
                <a:srgbClr val="FFA34B"/>
              </a:solidFill>
            </c:spPr>
          </c:dPt>
          <c:dPt>
            <c:idx val="293"/>
            <c:spPr>
              <a:solidFill>
                <a:srgbClr val="AE73FB"/>
              </a:solidFill>
            </c:spPr>
          </c:dPt>
          <c:dPt>
            <c:idx val="294"/>
            <c:spPr>
              <a:solidFill>
                <a:srgbClr val="1C8696"/>
              </a:solidFill>
            </c:spPr>
          </c:dPt>
          <c:dPt>
            <c:idx val="295"/>
            <c:spPr>
              <a:solidFill>
                <a:srgbClr val="1F0FCE"/>
              </a:solidFill>
            </c:spPr>
          </c:dPt>
          <c:dPt>
            <c:idx val="296"/>
            <c:spPr>
              <a:solidFill>
                <a:srgbClr val="36956E"/>
              </a:solidFill>
            </c:spPr>
          </c:dPt>
          <c:dPt>
            <c:idx val="297"/>
            <c:spPr>
              <a:solidFill>
                <a:srgbClr val="DCA733"/>
              </a:solidFill>
            </c:spPr>
          </c:dPt>
          <c:dPt>
            <c:idx val="298"/>
            <c:spPr>
              <a:solidFill>
                <a:srgbClr val="FFCF97"/>
              </a:solidFill>
            </c:spPr>
          </c:dPt>
          <c:dPt>
            <c:idx val="299"/>
            <c:spPr>
              <a:solidFill>
                <a:srgbClr val="E6870C"/>
              </a:solidFill>
            </c:spPr>
          </c:dPt>
          <c:dPt>
            <c:idx val="300"/>
            <c:spPr>
              <a:solidFill>
                <a:srgbClr val="55AB99"/>
              </a:solidFill>
            </c:spPr>
          </c:dPt>
          <c:dPt>
            <c:idx val="301"/>
            <c:spPr>
              <a:solidFill>
                <a:srgbClr val="25470B"/>
              </a:solidFill>
            </c:spPr>
          </c:dPt>
          <c:dPt>
            <c:idx val="302"/>
            <c:spPr>
              <a:solidFill>
                <a:srgbClr val="37A9B9"/>
              </a:solidFill>
            </c:spPr>
          </c:dPt>
          <c:dPt>
            <c:idx val="303"/>
            <c:spPr>
              <a:solidFill>
                <a:srgbClr val="19C167"/>
              </a:solidFill>
            </c:spPr>
          </c:dPt>
          <c:dPt>
            <c:idx val="304"/>
            <c:spPr>
              <a:solidFill>
                <a:srgbClr val="FFFBE3"/>
              </a:solidFill>
            </c:spPr>
          </c:dPt>
          <c:dPt>
            <c:idx val="305"/>
            <c:spPr>
              <a:solidFill>
                <a:srgbClr val="1D9B1D"/>
              </a:solidFill>
            </c:spPr>
          </c:dPt>
          <c:dPt>
            <c:idx val="306"/>
            <c:spPr>
              <a:solidFill>
                <a:srgbClr val="8ED09C"/>
              </a:solidFill>
            </c:spPr>
          </c:dPt>
          <c:dPt>
            <c:idx val="307"/>
            <c:spPr>
              <a:solidFill>
                <a:srgbClr val="2B7F48"/>
              </a:solidFill>
            </c:spPr>
          </c:dPt>
          <c:dPt>
            <c:idx val="308"/>
            <c:spPr>
              <a:solidFill>
                <a:srgbClr val="38BD04"/>
              </a:solidFill>
            </c:spPr>
          </c:dPt>
          <c:dPt>
            <c:idx val="309"/>
            <c:spPr>
              <a:solidFill>
                <a:srgbClr val="56DB9B"/>
              </a:solidFill>
            </c:spPr>
          </c:dPt>
          <c:dPt>
            <c:idx val="310"/>
            <c:spPr>
              <a:solidFill>
                <a:srgbClr val="FF272F"/>
              </a:solidFill>
            </c:spPr>
          </c:dPt>
          <c:dPt>
            <c:idx val="311"/>
            <c:spPr>
              <a:solidFill>
                <a:srgbClr val="55AF2E"/>
              </a:solidFill>
            </c:spPr>
          </c:dPt>
          <c:dPt>
            <c:idx val="312"/>
            <c:spPr>
              <a:solidFill>
                <a:srgbClr val="C6F4A0"/>
              </a:solidFill>
            </c:spPr>
          </c:dPt>
          <c:dPt>
            <c:idx val="313"/>
            <c:spPr>
              <a:solidFill>
                <a:srgbClr val="32B884"/>
              </a:solidFill>
            </c:spPr>
          </c:dPt>
          <c:dPt>
            <c:idx val="314"/>
            <c:spPr>
              <a:solidFill>
                <a:srgbClr val="39D150"/>
              </a:solidFill>
            </c:spPr>
          </c:dPt>
          <c:dPt>
            <c:idx val="315"/>
            <c:spPr>
              <a:solidFill>
                <a:srgbClr val="93F5CE"/>
              </a:solidFill>
            </c:spPr>
          </c:dPt>
          <c:dPt>
            <c:idx val="316"/>
            <c:spPr>
              <a:solidFill>
                <a:srgbClr val="FF537B"/>
              </a:solidFill>
            </c:spPr>
          </c:dPt>
          <c:dPt>
            <c:idx val="317"/>
            <c:spPr>
              <a:solidFill>
                <a:srgbClr val="8CC33F"/>
              </a:solidFill>
            </c:spPr>
          </c:dPt>
          <c:dPt>
            <c:idx val="318"/>
            <c:spPr>
              <a:solidFill>
                <a:srgbClr val="FF19A3"/>
              </a:solidFill>
            </c:spPr>
          </c:dPt>
          <c:dPt>
            <c:idx val="319"/>
            <c:spPr>
              <a:solidFill>
                <a:srgbClr val="38F0C1"/>
              </a:solidFill>
            </c:spPr>
          </c:dPt>
          <c:dPt>
            <c:idx val="320"/>
            <c:spPr>
              <a:solidFill>
                <a:srgbClr val="3BE59B"/>
              </a:solidFill>
            </c:spPr>
          </c:dPt>
          <c:dPt>
            <c:idx val="321"/>
            <c:spPr>
              <a:solidFill>
                <a:srgbClr val="D00F02"/>
              </a:solidFill>
            </c:spPr>
          </c:dPt>
          <c:dPt>
            <c:idx val="322"/>
            <c:spPr>
              <a:solidFill>
                <a:srgbClr val="FF7EC8"/>
              </a:solidFill>
            </c:spPr>
          </c:dPt>
          <c:dPt>
            <c:idx val="323"/>
            <c:spPr>
              <a:solidFill>
                <a:srgbClr val="C4D650"/>
              </a:solidFill>
            </c:spPr>
          </c:dPt>
          <c:dPt>
            <c:idx val="324"/>
            <c:spPr>
              <a:solidFill>
                <a:srgbClr val="383DA6"/>
              </a:solidFill>
            </c:spPr>
          </c:dPt>
          <c:dPt>
            <c:idx val="325"/>
            <c:spPr>
              <a:solidFill>
                <a:srgbClr val="3E29FD"/>
              </a:solidFill>
            </c:spPr>
          </c:dPt>
          <c:dPt>
            <c:idx val="326"/>
            <c:spPr>
              <a:solidFill>
                <a:srgbClr val="3CF9E6"/>
              </a:solidFill>
            </c:spPr>
          </c:dPt>
          <c:dPt>
            <c:idx val="327"/>
            <c:spPr>
              <a:solidFill>
                <a:srgbClr val="0D2935"/>
              </a:solidFill>
            </c:spPr>
          </c:dPt>
          <c:dPt>
            <c:idx val="328"/>
            <c:spPr>
              <a:solidFill>
                <a:srgbClr val="FFAA14"/>
              </a:solidFill>
            </c:spPr>
          </c:dPt>
          <c:dPt>
            <c:idx val="329"/>
            <c:spPr>
              <a:solidFill>
                <a:srgbClr val="FBEA61"/>
              </a:solidFill>
            </c:spPr>
          </c:dPt>
          <c:dPt>
            <c:idx val="330"/>
            <c:spPr>
              <a:solidFill>
                <a:srgbClr val="7162AA"/>
              </a:solidFill>
            </c:spPr>
          </c:dPt>
          <c:dPt>
            <c:idx val="331"/>
            <c:spPr>
              <a:solidFill>
                <a:srgbClr val="45613A"/>
              </a:solidFill>
            </c:spPr>
          </c:dPt>
          <c:dPt>
            <c:idx val="332"/>
            <c:spPr>
              <a:solidFill>
                <a:srgbClr val="3D0E32"/>
              </a:solidFill>
            </c:spPr>
          </c:dPt>
          <c:dPt>
            <c:idx val="333"/>
            <c:spPr>
              <a:solidFill>
                <a:srgbClr val="4A4469"/>
              </a:solidFill>
            </c:spPr>
          </c:dPt>
          <c:dPt>
            <c:idx val="334"/>
            <c:spPr>
              <a:solidFill>
                <a:srgbClr val="FFD660"/>
              </a:solidFill>
            </c:spPr>
          </c:dPt>
          <c:dPt>
            <c:idx val="335"/>
            <c:spPr>
              <a:solidFill>
                <a:srgbClr val="33FE73"/>
              </a:solidFill>
            </c:spPr>
          </c:dPt>
          <c:dPt>
            <c:idx val="336"/>
            <c:spPr>
              <a:solidFill>
                <a:srgbClr val="A987AD"/>
              </a:solidFill>
            </c:spPr>
          </c:dPt>
          <c:dPt>
            <c:idx val="337"/>
            <c:spPr>
              <a:solidFill>
                <a:srgbClr val="4B9977"/>
              </a:solidFill>
            </c:spPr>
          </c:dPt>
          <c:dPt>
            <c:idx val="338"/>
            <c:spPr>
              <a:solidFill>
                <a:srgbClr val="3E227D"/>
              </a:solidFill>
            </c:spPr>
          </c:dPt>
          <c:dPt>
            <c:idx val="339"/>
            <c:spPr>
              <a:solidFill>
                <a:srgbClr val="865E9D"/>
              </a:solidFill>
            </c:spPr>
          </c:dPt>
          <c:dPt>
            <c:idx val="340"/>
            <c:spPr>
              <a:solidFill>
                <a:srgbClr val="FF02AC"/>
              </a:solidFill>
            </c:spPr>
          </c:dPt>
          <c:dPt>
            <c:idx val="341"/>
            <c:spPr>
              <a:solidFill>
                <a:srgbClr val="6A1284"/>
              </a:solidFill>
            </c:spPr>
          </c:dPt>
          <c:dPt>
            <c:idx val="342"/>
            <c:spPr>
              <a:solidFill>
                <a:srgbClr val="E2ABB0"/>
              </a:solidFill>
            </c:spPr>
          </c:dPt>
          <c:dPt>
            <c:idx val="343"/>
            <c:spPr>
              <a:solidFill>
                <a:srgbClr val="51D2B3"/>
              </a:solidFill>
            </c:spPr>
          </c:dPt>
          <c:dPt>
            <c:idx val="344"/>
            <c:spPr>
              <a:solidFill>
                <a:srgbClr val="3F36C8"/>
              </a:solidFill>
            </c:spPr>
          </c:dPt>
          <c:dPt>
            <c:idx val="345"/>
            <c:spPr>
              <a:solidFill>
                <a:srgbClr val="C378D0"/>
              </a:solidFill>
            </c:spPr>
          </c:dPt>
          <c:dPt>
            <c:idx val="346"/>
            <c:spPr>
              <a:solidFill>
                <a:srgbClr val="FF2EF8"/>
              </a:solidFill>
            </c:spPr>
          </c:dPt>
          <c:dPt>
            <c:idx val="347"/>
            <c:spPr>
              <a:solidFill>
                <a:srgbClr val="A22695"/>
              </a:solidFill>
            </c:spPr>
          </c:dPt>
          <c:dPt>
            <c:idx val="348"/>
            <c:spPr>
              <a:solidFill>
                <a:srgbClr val="1BD0B3"/>
              </a:solidFill>
            </c:spPr>
          </c:dPt>
          <c:dPt>
            <c:idx val="349"/>
            <c:spPr>
              <a:solidFill>
                <a:srgbClr val="570AF0"/>
              </a:solidFill>
            </c:spPr>
          </c:dPt>
          <c:dPt>
            <c:idx val="350"/>
            <c:spPr>
              <a:solidFill>
                <a:srgbClr val="414A13"/>
              </a:solidFill>
            </c:spPr>
          </c:dPt>
          <c:dPt>
            <c:idx val="351"/>
            <c:spPr>
              <a:solidFill>
                <a:srgbClr val="009204"/>
              </a:solidFill>
            </c:spPr>
          </c:dPt>
          <c:dPt>
            <c:idx val="352"/>
            <c:spPr>
              <a:solidFill>
                <a:srgbClr val="FF5945"/>
              </a:solidFill>
            </c:spPr>
          </c:dPt>
          <c:dPt>
            <c:idx val="353"/>
            <c:spPr>
              <a:solidFill>
                <a:srgbClr val="D939A6"/>
              </a:solidFill>
            </c:spPr>
          </c:dPt>
          <c:dPt>
            <c:idx val="354"/>
            <c:spPr>
              <a:solidFill>
                <a:srgbClr val="53F4B7"/>
              </a:solidFill>
            </c:spPr>
          </c:dPt>
          <c:dPt>
            <c:idx val="355"/>
            <c:spPr>
              <a:solidFill>
                <a:srgbClr val="5E432C"/>
              </a:solidFill>
            </c:spPr>
          </c:dPt>
          <c:dPt>
            <c:idx val="356"/>
            <c:spPr>
              <a:solidFill>
                <a:srgbClr val="425E5F"/>
              </a:solidFill>
            </c:spPr>
          </c:dPt>
          <c:dPt>
            <c:idx val="357"/>
            <c:spPr>
              <a:solidFill>
                <a:srgbClr val="3DAC37"/>
              </a:solidFill>
            </c:spPr>
          </c:dPt>
          <c:dPt>
            <c:idx val="358"/>
            <c:spPr>
              <a:solidFill>
                <a:srgbClr val="FF8591"/>
              </a:solidFill>
            </c:spPr>
          </c:dPt>
          <c:dPt>
            <c:idx val="359"/>
            <c:spPr>
              <a:solidFill>
                <a:srgbClr val="114DB7"/>
              </a:solidFill>
            </c:spPr>
          </c:dPt>
          <c:dPt>
            <c:idx val="360"/>
            <c:spPr>
              <a:solidFill>
                <a:srgbClr val="8C19BA"/>
              </a:solidFill>
            </c:spPr>
          </c:dPt>
          <c:dPt>
            <c:idx val="361"/>
            <c:spPr>
              <a:solidFill>
                <a:srgbClr val="647B69"/>
              </a:solidFill>
            </c:spPr>
          </c:dPt>
          <c:dPt>
            <c:idx val="362"/>
            <c:spPr>
              <a:solidFill>
                <a:srgbClr val="4372AA"/>
              </a:solidFill>
            </c:spPr>
          </c:dPt>
          <c:dPt>
            <c:idx val="363"/>
            <c:spPr>
              <a:solidFill>
                <a:srgbClr val="7AC66B"/>
              </a:solidFill>
            </c:spPr>
          </c:dPt>
          <c:dPt>
            <c:idx val="364"/>
            <c:spPr>
              <a:solidFill>
                <a:srgbClr val="FFB1DD"/>
              </a:solidFill>
            </c:spPr>
          </c:dPt>
          <c:dPt>
            <c:idx val="365"/>
            <c:spPr>
              <a:solidFill>
                <a:srgbClr val="4861C8"/>
              </a:solidFill>
            </c:spPr>
          </c:dPt>
          <c:dPt>
            <c:idx val="366"/>
            <c:spPr>
              <a:solidFill>
                <a:srgbClr val="C53EBD"/>
              </a:solidFill>
            </c:spPr>
          </c:dPt>
          <c:dPt>
            <c:idx val="367"/>
            <c:spPr>
              <a:solidFill>
                <a:srgbClr val="6AB3A6"/>
              </a:solidFill>
            </c:spPr>
          </c:dPt>
          <c:dPt>
            <c:idx val="368"/>
            <c:spPr>
              <a:solidFill>
                <a:srgbClr val="4486F5"/>
              </a:solidFill>
            </c:spPr>
          </c:dPt>
          <c:dPt>
            <c:idx val="369"/>
            <c:spPr>
              <a:solidFill>
                <a:srgbClr val="B7E09F"/>
              </a:solidFill>
            </c:spPr>
          </c:dPt>
          <c:dPt>
            <c:idx val="370"/>
            <c:spPr>
              <a:solidFill>
                <a:srgbClr val="FFDD29"/>
              </a:solidFill>
            </c:spPr>
          </c:dPt>
          <c:dPt>
            <c:idx val="371"/>
            <c:spPr>
              <a:solidFill>
                <a:srgbClr val="7F75D9"/>
              </a:solidFill>
            </c:spPr>
          </c:dPt>
          <c:dPt>
            <c:idx val="372"/>
            <c:spPr>
              <a:solidFill>
                <a:srgbClr val="FD62C1"/>
              </a:solidFill>
            </c:spPr>
          </c:dPt>
          <c:dPt>
            <c:idx val="373"/>
            <c:spPr>
              <a:solidFill>
                <a:srgbClr val="71ECE2"/>
              </a:solidFill>
            </c:spPr>
          </c:dPt>
          <c:dPt>
            <c:idx val="374"/>
            <c:spPr>
              <a:solidFill>
                <a:srgbClr val="459A41"/>
              </a:solidFill>
            </c:spPr>
          </c:dPt>
          <c:dPt>
            <c:idx val="375"/>
            <c:spPr>
              <a:solidFill>
                <a:srgbClr val="F4FAD2"/>
              </a:solidFill>
            </c:spPr>
          </c:dPt>
          <c:dPt>
            <c:idx val="376"/>
            <c:spPr>
              <a:solidFill>
                <a:srgbClr val="FF0975"/>
              </a:solidFill>
            </c:spPr>
          </c:dPt>
          <c:dPt>
            <c:idx val="377"/>
            <c:spPr>
              <a:solidFill>
                <a:srgbClr val="B789EA"/>
              </a:solidFill>
            </c:spPr>
          </c:dPt>
          <c:dPt>
            <c:idx val="378"/>
            <c:spPr>
              <a:solidFill>
                <a:srgbClr val="3687C4"/>
              </a:solidFill>
            </c:spPr>
          </c:dPt>
          <c:dPt>
            <c:idx val="379"/>
            <c:spPr>
              <a:solidFill>
                <a:srgbClr val="77241F"/>
              </a:solidFill>
            </c:spPr>
          </c:dPt>
          <c:dPt>
            <c:idx val="380"/>
            <c:spPr>
              <a:solidFill>
                <a:srgbClr val="47AE8C"/>
              </a:solidFill>
            </c:spPr>
          </c:dPt>
          <c:dPt>
            <c:idx val="381"/>
            <c:spPr>
              <a:solidFill>
                <a:srgbClr val="311406"/>
              </a:solidFill>
            </c:spPr>
          </c:dPt>
          <c:dPt>
            <c:idx val="382"/>
            <c:spPr>
              <a:solidFill>
                <a:srgbClr val="FF34C2"/>
              </a:solidFill>
            </c:spPr>
          </c:dPt>
          <c:dPt>
            <c:idx val="383"/>
            <c:spPr>
              <a:solidFill>
                <a:srgbClr val="EF9CFB"/>
              </a:solidFill>
            </c:spPr>
          </c:dPt>
          <c:dPt>
            <c:idx val="384"/>
            <c:spPr>
              <a:solidFill>
                <a:srgbClr val="6FABC7"/>
              </a:solidFill>
            </c:spPr>
          </c:dPt>
          <c:dPt>
            <c:idx val="385"/>
            <c:spPr>
              <a:solidFill>
                <a:srgbClr val="7D5D5B"/>
              </a:solidFill>
            </c:spPr>
          </c:dPt>
          <c:dPt>
            <c:idx val="386"/>
            <c:spPr>
              <a:solidFill>
                <a:srgbClr val="48C2D7"/>
              </a:solidFill>
            </c:spPr>
          </c:dPt>
          <c:dPt>
            <c:idx val="387"/>
            <c:spPr>
              <a:solidFill>
                <a:srgbClr val="6E2E39"/>
              </a:solidFill>
            </c:spPr>
          </c:dPt>
          <c:dPt>
            <c:idx val="388"/>
            <c:spPr>
              <a:solidFill>
                <a:srgbClr val="FF600E"/>
              </a:solidFill>
            </c:spPr>
          </c:dPt>
          <c:dPt>
            <c:idx val="389"/>
            <c:spPr>
              <a:solidFill>
                <a:srgbClr val="26B00C"/>
              </a:solidFill>
            </c:spPr>
          </c:dPt>
          <c:dPt>
            <c:idx val="390"/>
            <c:spPr>
              <a:solidFill>
                <a:srgbClr val="A8D0CB"/>
              </a:solidFill>
            </c:spPr>
          </c:dPt>
          <c:dPt>
            <c:idx val="391"/>
            <c:spPr>
              <a:solidFill>
                <a:srgbClr val="849598"/>
              </a:solidFill>
            </c:spPr>
          </c:dPt>
          <c:dPt>
            <c:idx val="392"/>
            <c:spPr>
              <a:solidFill>
                <a:srgbClr val="49D723"/>
              </a:solidFill>
            </c:spPr>
          </c:dPt>
          <c:dPt>
            <c:idx val="393"/>
            <c:spPr>
              <a:solidFill>
                <a:srgbClr val="AB496D"/>
              </a:solidFill>
            </c:spPr>
          </c:dPt>
          <c:dPt>
            <c:idx val="394"/>
            <c:spPr>
              <a:solidFill>
                <a:srgbClr val="FF8C5A"/>
              </a:solidFill>
            </c:spPr>
          </c:dPt>
          <c:dPt>
            <c:idx val="395"/>
            <c:spPr>
              <a:solidFill>
                <a:srgbClr val="5EC41E"/>
              </a:solidFill>
            </c:spPr>
          </c:dPt>
          <c:dPt>
            <c:idx val="396"/>
            <c:spPr>
              <a:solidFill>
                <a:srgbClr val="E0F5CE"/>
              </a:solidFill>
            </c:spPr>
          </c:dPt>
          <c:dPt>
            <c:idx val="397"/>
            <c:spPr>
              <a:solidFill>
                <a:srgbClr val="8ACDD5"/>
              </a:solidFill>
            </c:spPr>
          </c:dPt>
          <c:dPt>
            <c:idx val="398"/>
            <c:spPr>
              <a:solidFill>
                <a:srgbClr val="4AEB6E"/>
              </a:solidFill>
            </c:spPr>
          </c:dPt>
          <c:dPt>
            <c:idx val="399"/>
            <c:spPr>
              <a:solidFill>
                <a:srgbClr val="E763A1"/>
              </a:solidFill>
            </c:spPr>
          </c:dPt>
          <c:dPt>
            <c:idx val="400"/>
            <c:spPr>
              <a:solidFill>
                <a:srgbClr val="FFB8A6"/>
              </a:solidFill>
            </c:spPr>
          </c:dPt>
          <c:dPt>
            <c:idx val="401"/>
            <c:spPr>
              <a:solidFill>
                <a:srgbClr val="95D82F"/>
              </a:solidFill>
            </c:spPr>
          </c:dPt>
          <c:dPt>
            <c:idx val="402"/>
            <c:spPr>
              <a:solidFill>
                <a:srgbClr val="1919D1"/>
              </a:solidFill>
            </c:spPr>
          </c:dPt>
          <c:dPt>
            <c:idx val="403"/>
            <c:spPr>
              <a:solidFill>
                <a:srgbClr val="900611"/>
              </a:solidFill>
            </c:spPr>
          </c:dPt>
          <c:dPt>
            <c:idx val="404"/>
            <c:spPr>
              <a:solidFill>
                <a:srgbClr val="4BFFB9"/>
              </a:solidFill>
            </c:spPr>
          </c:dPt>
          <c:dPt>
            <c:idx val="405"/>
            <c:spPr>
              <a:solidFill>
                <a:srgbClr val="247DD4"/>
              </a:solidFill>
            </c:spPr>
          </c:dPt>
          <c:dPt>
            <c:idx val="406"/>
            <c:spPr>
              <a:solidFill>
                <a:srgbClr val="FFE4F2"/>
              </a:solidFill>
            </c:spPr>
          </c:dPt>
          <c:dPt>
            <c:idx val="407"/>
            <c:spPr>
              <a:solidFill>
                <a:srgbClr val="CDEC40"/>
              </a:solidFill>
            </c:spPr>
          </c:dPt>
          <c:dPt>
            <c:idx val="408"/>
            <c:spPr>
              <a:solidFill>
                <a:srgbClr val="523ED4"/>
              </a:solidFill>
            </c:spPr>
          </c:dPt>
          <c:dPt>
            <c:idx val="409"/>
            <c:spPr>
              <a:solidFill>
                <a:srgbClr val="963E4E"/>
              </a:solidFill>
            </c:spPr>
          </c:dPt>
          <c:dPt>
            <c:idx val="410"/>
            <c:spPr>
              <a:solidFill>
                <a:srgbClr val="4D1304"/>
              </a:solidFill>
            </c:spPr>
          </c:dPt>
          <c:dPt>
            <c:idx val="411"/>
            <c:spPr>
              <a:solidFill>
                <a:srgbClr val="619708"/>
              </a:solidFill>
            </c:spPr>
          </c:dPt>
          <c:dPt>
            <c:idx val="412"/>
            <c:spPr>
              <a:solidFill>
                <a:srgbClr val="FF0F3F"/>
              </a:solidFill>
            </c:spPr>
          </c:dPt>
          <c:dPt>
            <c:idx val="413"/>
            <c:spPr>
              <a:solidFill>
                <a:srgbClr val="04FF51"/>
              </a:solidFill>
            </c:spPr>
          </c:dPt>
          <c:dPt>
            <c:idx val="414"/>
            <c:spPr>
              <a:solidFill>
                <a:srgbClr val="8A62D8"/>
              </a:solidFill>
            </c:spPr>
          </c:dPt>
          <c:dPt>
            <c:idx val="415"/>
            <c:spPr>
              <a:solidFill>
                <a:srgbClr val="9D778A"/>
              </a:solidFill>
            </c:spPr>
          </c:dPt>
          <c:dPt>
            <c:idx val="416"/>
            <c:spPr>
              <a:solidFill>
                <a:srgbClr val="4E2750"/>
              </a:solidFill>
            </c:spPr>
          </c:dPt>
          <c:dPt>
            <c:idx val="417"/>
            <c:spPr>
              <a:solidFill>
                <a:srgbClr val="9EB13B"/>
              </a:solidFill>
            </c:spPr>
          </c:dPt>
          <c:dPt>
            <c:idx val="418"/>
            <c:spPr>
              <a:solidFill>
                <a:srgbClr val="FF3B8B"/>
              </a:solidFill>
            </c:spPr>
          </c:dPt>
          <c:dPt>
            <c:idx val="419"/>
            <c:spPr>
              <a:solidFill>
                <a:srgbClr val="3C1362"/>
              </a:solidFill>
            </c:spPr>
          </c:dPt>
          <c:dPt>
            <c:idx val="420"/>
            <c:spPr>
              <a:solidFill>
                <a:srgbClr val="C387DB"/>
              </a:solidFill>
            </c:spPr>
          </c:dPt>
          <c:dPt>
            <c:idx val="421"/>
            <c:spPr>
              <a:solidFill>
                <a:srgbClr val="A3AFC7"/>
              </a:solidFill>
            </c:spPr>
          </c:dPt>
          <c:dPt>
            <c:idx val="422"/>
            <c:spPr>
              <a:solidFill>
                <a:srgbClr val="4F3B9B"/>
              </a:solidFill>
            </c:spPr>
          </c:dPt>
          <c:dPt>
            <c:idx val="423"/>
            <c:spPr>
              <a:solidFill>
                <a:srgbClr val="DBCB6F"/>
              </a:solidFill>
            </c:spPr>
          </c:dPt>
          <c:dPt>
            <c:idx val="424"/>
            <c:spPr>
              <a:solidFill>
                <a:srgbClr val="FF67D7"/>
              </a:solidFill>
            </c:spPr>
          </c:dPt>
          <c:dPt>
            <c:idx val="425"/>
            <c:spPr>
              <a:solidFill>
                <a:srgbClr val="732773"/>
              </a:solidFill>
            </c:spPr>
          </c:dPt>
          <c:dPt>
            <c:idx val="426"/>
            <c:spPr>
              <a:solidFill>
                <a:srgbClr val="FCACDE"/>
              </a:solidFill>
            </c:spPr>
          </c:dPt>
          <c:dPt>
            <c:idx val="427"/>
            <c:spPr>
              <a:solidFill>
                <a:srgbClr val="A9E704"/>
              </a:solidFill>
            </c:spPr>
          </c:dPt>
          <c:dPt>
            <c:idx val="428"/>
            <c:spPr>
              <a:solidFill>
                <a:srgbClr val="504FE6"/>
              </a:solidFill>
            </c:spPr>
          </c:dPt>
          <c:dPt>
            <c:idx val="429"/>
            <c:spPr>
              <a:solidFill>
                <a:srgbClr val="18E5A3"/>
              </a:solidFill>
            </c:spPr>
          </c:dPt>
          <c:dPt>
            <c:idx val="430"/>
            <c:spPr>
              <a:solidFill>
                <a:srgbClr val="FF9323"/>
              </a:solidFill>
            </c:spPr>
          </c:dPt>
          <c:dPt>
            <c:idx val="431"/>
            <c:spPr>
              <a:solidFill>
                <a:srgbClr val="AA3B84"/>
              </a:solidFill>
            </c:spPr>
          </c:dPt>
          <c:dPt>
            <c:idx val="432"/>
            <c:spPr>
              <a:solidFill>
                <a:srgbClr val="34D0E2"/>
              </a:solidFill>
            </c:spPr>
          </c:dPt>
          <c:dPt>
            <c:idx val="433"/>
            <c:spPr>
              <a:solidFill>
                <a:srgbClr val="B02040"/>
              </a:solidFill>
            </c:spPr>
          </c:dPt>
          <c:dPt>
            <c:idx val="434"/>
            <c:spPr>
              <a:solidFill>
                <a:srgbClr val="516332"/>
              </a:solidFill>
            </c:spPr>
          </c:dPt>
          <c:dPt>
            <c:idx val="435"/>
            <c:spPr>
              <a:solidFill>
                <a:srgbClr val="55FFD6"/>
              </a:solidFill>
            </c:spPr>
          </c:dPt>
          <c:dPt>
            <c:idx val="436"/>
            <c:spPr>
              <a:solidFill>
                <a:srgbClr val="FFBF6F"/>
              </a:solidFill>
            </c:spPr>
          </c:dPt>
          <c:dPt>
            <c:idx val="437"/>
            <c:spPr>
              <a:solidFill>
                <a:srgbClr val="E24F95"/>
              </a:solidFill>
            </c:spPr>
          </c:dPt>
          <c:dPt>
            <c:idx val="438"/>
            <c:spPr>
              <a:solidFill>
                <a:srgbClr val="6DF5E5"/>
              </a:solidFill>
            </c:spPr>
          </c:dPt>
          <c:dPt>
            <c:idx val="439"/>
            <c:spPr>
              <a:solidFill>
                <a:srgbClr val="B6587D"/>
              </a:solidFill>
            </c:spPr>
          </c:dPt>
          <c:dPt>
            <c:idx val="440"/>
            <c:spPr>
              <a:solidFill>
                <a:srgbClr val="53777D"/>
              </a:solidFill>
            </c:spPr>
          </c:dPt>
          <c:dPt>
            <c:idx val="441"/>
            <c:spPr>
              <a:solidFill>
                <a:srgbClr val="92190A"/>
              </a:solidFill>
            </c:spPr>
          </c:dPt>
          <c:dPt>
            <c:idx val="442"/>
            <c:spPr>
              <a:solidFill>
                <a:srgbClr val="FFEABC"/>
              </a:solidFill>
            </c:spPr>
          </c:dPt>
          <c:dPt>
            <c:idx val="443"/>
            <c:spPr>
              <a:solidFill>
                <a:srgbClr val="1A62A6"/>
              </a:solidFill>
            </c:spPr>
          </c:dPt>
          <c:dPt>
            <c:idx val="444"/>
            <c:spPr>
              <a:solidFill>
                <a:srgbClr val="A619E8"/>
              </a:solidFill>
            </c:spPr>
          </c:dPt>
          <c:dPt>
            <c:idx val="445"/>
            <c:spPr>
              <a:solidFill>
                <a:srgbClr val="BC91B9"/>
              </a:solidFill>
            </c:spPr>
          </c:dPt>
          <c:dPt>
            <c:idx val="446"/>
            <c:spPr>
              <a:solidFill>
                <a:srgbClr val="548BC8"/>
              </a:solidFill>
            </c:spPr>
          </c:dPt>
          <c:dPt>
            <c:idx val="447"/>
            <c:spPr>
              <a:solidFill>
                <a:srgbClr val="CF333D"/>
              </a:solidFill>
            </c:spPr>
          </c:dPt>
          <c:dPt>
            <c:idx val="448"/>
            <c:spPr>
              <a:solidFill>
                <a:srgbClr val="FF1608"/>
              </a:solidFill>
            </c:spPr>
          </c:dPt>
          <c:dPt>
            <c:idx val="449"/>
            <c:spPr>
              <a:solidFill>
                <a:srgbClr val="5176B7"/>
              </a:solidFill>
            </c:spPr>
          </c:dPt>
          <c:dPt>
            <c:idx val="450"/>
            <c:spPr>
              <a:solidFill>
                <a:srgbClr val="DF3EEC"/>
              </a:solidFill>
            </c:spPr>
          </c:dPt>
          <c:dPt>
            <c:idx val="451"/>
            <c:spPr>
              <a:solidFill>
                <a:srgbClr val="C3C9F6"/>
              </a:solidFill>
            </c:spPr>
          </c:dPt>
          <c:dPt>
            <c:idx val="452"/>
            <c:spPr>
              <a:solidFill>
                <a:srgbClr val="55A014"/>
              </a:solidFill>
            </c:spPr>
          </c:dPt>
          <c:dPt>
            <c:idx val="453"/>
            <c:spPr>
              <a:solidFill>
                <a:srgbClr val="0C4E71"/>
              </a:solidFill>
            </c:spPr>
          </c:dPt>
          <c:dPt>
            <c:idx val="454"/>
            <c:spPr>
              <a:solidFill>
                <a:srgbClr val="FF4254"/>
              </a:solidFill>
            </c:spPr>
          </c:dPt>
          <c:dPt>
            <c:idx val="455"/>
            <c:spPr>
              <a:solidFill>
                <a:srgbClr val="898AC9"/>
              </a:solidFill>
            </c:spPr>
          </c:dPt>
          <c:dPt>
            <c:idx val="456"/>
            <c:spPr>
              <a:solidFill>
                <a:srgbClr val="1763EF"/>
              </a:solidFill>
            </c:spPr>
          </c:dPt>
          <c:dPt>
            <c:idx val="457"/>
            <c:spPr>
              <a:solidFill>
                <a:srgbClr val="C90133"/>
              </a:solidFill>
            </c:spPr>
          </c:dPt>
          <c:dPt>
            <c:idx val="458"/>
            <c:spPr>
              <a:solidFill>
                <a:srgbClr val="56B45F"/>
              </a:solidFill>
            </c:spPr>
          </c:dPt>
          <c:dPt>
            <c:idx val="459"/>
            <c:spPr>
              <a:solidFill>
                <a:srgbClr val="4868A5"/>
              </a:solidFill>
            </c:spPr>
          </c:dPt>
          <c:dPt>
            <c:idx val="460"/>
            <c:spPr>
              <a:solidFill>
                <a:srgbClr val="FF6EA0"/>
              </a:solidFill>
            </c:spPr>
          </c:dPt>
          <c:dPt>
            <c:idx val="461"/>
            <c:spPr>
              <a:solidFill>
                <a:srgbClr val="C09EDA"/>
              </a:solidFill>
            </c:spPr>
          </c:dPt>
          <c:dPt>
            <c:idx val="462"/>
            <c:spPr>
              <a:solidFill>
                <a:srgbClr val="5087F2"/>
              </a:solidFill>
            </c:spPr>
          </c:dPt>
          <c:dPt>
            <c:idx val="463"/>
            <c:spPr>
              <a:solidFill>
                <a:srgbClr val="CF3A6F"/>
              </a:solidFill>
            </c:spPr>
          </c:dPt>
          <c:dPt>
            <c:idx val="464"/>
            <c:spPr>
              <a:solidFill>
                <a:srgbClr val="57C8AA"/>
              </a:solidFill>
            </c:spPr>
          </c:dPt>
          <c:dPt>
            <c:idx val="465"/>
            <c:spPr>
              <a:solidFill>
                <a:srgbClr val="8582D8"/>
              </a:solidFill>
            </c:spPr>
          </c:dPt>
          <c:dPt>
            <c:idx val="466"/>
            <c:spPr>
              <a:solidFill>
                <a:srgbClr val="FF9AEC"/>
              </a:solidFill>
            </c:spPr>
          </c:dPt>
          <c:dPt>
            <c:idx val="467"/>
            <c:spPr>
              <a:solidFill>
                <a:srgbClr val="F8B2EB"/>
              </a:solidFill>
            </c:spPr>
          </c:dPt>
          <c:dPt>
            <c:idx val="468"/>
            <c:spPr>
              <a:solidFill>
                <a:srgbClr val="89ACF5"/>
              </a:solidFill>
            </c:spPr>
          </c:dPt>
          <c:dPt>
            <c:idx val="469"/>
            <c:spPr>
              <a:solidFill>
                <a:srgbClr val="D572AC"/>
              </a:solidFill>
            </c:spPr>
          </c:dPt>
          <c:dPt>
            <c:idx val="470"/>
            <c:spPr>
              <a:solidFill>
                <a:srgbClr val="59DCF5"/>
              </a:solidFill>
            </c:spPr>
          </c:dPt>
          <c:dPt>
            <c:idx val="471"/>
            <c:spPr>
              <a:solidFill>
                <a:srgbClr val="C29C0C"/>
              </a:solidFill>
            </c:spPr>
          </c:dPt>
          <c:dPt>
            <c:idx val="472"/>
            <c:spPr>
              <a:solidFill>
                <a:srgbClr val="FFC539"/>
              </a:solidFill>
            </c:spPr>
          </c:dPt>
          <c:dPt>
            <c:idx val="473"/>
            <c:spPr>
              <a:solidFill>
                <a:srgbClr val="2FC5FC"/>
              </a:solidFill>
            </c:spPr>
          </c:dPt>
          <c:dPt>
            <c:idx val="474"/>
            <c:spPr>
              <a:solidFill>
                <a:srgbClr val="C1D0F9"/>
              </a:solidFill>
            </c:spPr>
          </c:dPt>
          <c:dPt>
            <c:idx val="475"/>
            <c:spPr>
              <a:solidFill>
                <a:srgbClr val="DCABE8"/>
              </a:solidFill>
            </c:spPr>
          </c:dPt>
          <c:dPt>
            <c:idx val="476"/>
            <c:spPr>
              <a:solidFill>
                <a:srgbClr val="5AF041"/>
              </a:solidFill>
            </c:spPr>
          </c:dPt>
          <c:dPt>
            <c:idx val="477"/>
            <c:spPr>
              <a:solidFill>
                <a:srgbClr val="FFB63F"/>
              </a:solidFill>
            </c:spPr>
          </c:dPt>
          <c:dPt>
            <c:idx val="478"/>
            <c:spPr>
              <a:solidFill>
                <a:srgbClr val="FFF185"/>
              </a:solidFill>
            </c:spPr>
          </c:dPt>
          <c:dPt>
            <c:idx val="479"/>
            <c:spPr>
              <a:solidFill>
                <a:srgbClr val="67D90D"/>
              </a:solidFill>
            </c:spPr>
          </c:dPt>
          <c:dPt>
            <c:idx val="480"/>
            <c:spPr>
              <a:solidFill>
                <a:srgbClr val="FAF5FC"/>
              </a:solidFill>
            </c:spPr>
          </c:dPt>
          <c:dPt>
            <c:idx val="481"/>
            <c:spPr>
              <a:solidFill>
                <a:srgbClr val="E2E325"/>
              </a:solidFill>
            </c:spPr>
          </c:dPt>
          <c:dPt>
            <c:idx val="482"/>
            <c:spPr>
              <a:solidFill>
                <a:srgbClr val="5B048C"/>
              </a:solidFill>
            </c:spPr>
          </c:dPt>
          <c:dPt>
            <c:idx val="483"/>
            <c:spPr>
              <a:solidFill>
                <a:srgbClr val="3CD073"/>
              </a:solidFill>
            </c:spPr>
          </c:dPt>
          <c:dPt>
            <c:idx val="484"/>
            <c:spPr>
              <a:solidFill>
                <a:srgbClr val="FF1DD1"/>
              </a:solidFill>
            </c:spPr>
          </c:dPt>
          <c:dPt>
            <c:idx val="485"/>
            <c:spPr>
              <a:solidFill>
                <a:srgbClr val="9EED1E"/>
              </a:solidFill>
            </c:spPr>
          </c:dPt>
          <c:dPt>
            <c:idx val="486"/>
            <c:spPr>
              <a:solidFill>
                <a:srgbClr val="331AFF"/>
              </a:solidFill>
            </c:spPr>
          </c:dPt>
          <c:dPt>
            <c:idx val="487"/>
            <c:spPr>
              <a:solidFill>
                <a:srgbClr val="E81B62"/>
              </a:solidFill>
            </c:spPr>
          </c:dPt>
          <c:dPt>
            <c:idx val="488"/>
            <c:spPr>
              <a:solidFill>
                <a:srgbClr val="5C18D7"/>
              </a:solidFill>
            </c:spPr>
          </c:dPt>
          <c:dPt>
            <c:idx val="489"/>
            <c:spPr>
              <a:solidFill>
                <a:srgbClr val="79EAA7"/>
              </a:solidFill>
            </c:spPr>
          </c:dPt>
          <c:dPt>
            <c:idx val="490"/>
            <c:spPr>
              <a:solidFill>
                <a:srgbClr val="FF491D"/>
              </a:solidFill>
            </c:spPr>
          </c:dPt>
          <c:dPt>
            <c:idx val="491"/>
            <c:spPr>
              <a:solidFill>
                <a:srgbClr val="D6012F"/>
              </a:solidFill>
            </c:spPr>
          </c:dPt>
          <c:dPt>
            <c:idx val="492"/>
            <c:spPr>
              <a:solidFill>
                <a:srgbClr val="6B3E03"/>
              </a:solidFill>
            </c:spPr>
          </c:dPt>
          <c:dPt>
            <c:idx val="493"/>
            <c:spPr>
              <a:solidFill>
                <a:srgbClr val="EF549E"/>
              </a:solidFill>
            </c:spPr>
          </c:dPt>
          <c:dPt>
            <c:idx val="494"/>
            <c:spPr>
              <a:solidFill>
                <a:srgbClr val="5D2C23"/>
              </a:solidFill>
            </c:spPr>
          </c:dPt>
          <c:dPt>
            <c:idx val="495"/>
            <c:spPr>
              <a:solidFill>
                <a:srgbClr val="B604DA"/>
              </a:solidFill>
            </c:spPr>
          </c:dPt>
          <c:dPt>
            <c:idx val="496"/>
            <c:spPr>
              <a:solidFill>
                <a:srgbClr val="FF7569"/>
              </a:solidFill>
            </c:spPr>
          </c:dPt>
          <c:dPt>
            <c:idx val="497"/>
            <c:spPr>
              <a:solidFill>
                <a:srgbClr val="0D1540"/>
              </a:solidFill>
            </c:spPr>
          </c:dPt>
          <c:dPt>
            <c:idx val="498"/>
            <c:spPr>
              <a:solidFill>
                <a:srgbClr val="A46306"/>
              </a:solidFill>
            </c:spPr>
          </c:dPt>
          <c:dPt>
            <c:idx val="499"/>
            <c:spPr>
              <a:solidFill>
                <a:srgbClr val="F58CDB"/>
              </a:solidFill>
            </c:spPr>
          </c:dPt>
          <c:dPt>
            <c:idx val="500"/>
            <c:spPr>
              <a:solidFill>
                <a:srgbClr val="5F406E"/>
              </a:solidFill>
            </c:spPr>
          </c:dPt>
          <c:dPt>
            <c:idx val="501"/>
            <c:spPr>
              <a:solidFill>
                <a:srgbClr val="F31E0E"/>
              </a:solidFill>
            </c:spPr>
          </c:dPt>
          <c:dPt>
            <c:idx val="502"/>
            <c:spPr>
              <a:solidFill>
                <a:srgbClr val="FFA0B6"/>
              </a:solidFill>
            </c:spPr>
          </c:dPt>
          <c:dPt>
            <c:idx val="503"/>
            <c:spPr>
              <a:solidFill>
                <a:srgbClr val="452851"/>
              </a:solidFill>
            </c:spPr>
          </c:dPt>
          <c:dPt>
            <c:idx val="504"/>
            <c:spPr>
              <a:solidFill>
                <a:srgbClr val="DD8709"/>
              </a:solidFill>
            </c:spPr>
          </c:dPt>
          <c:dPt>
            <c:idx val="505"/>
            <c:spPr>
              <a:solidFill>
                <a:srgbClr val="FBC517"/>
              </a:solidFill>
            </c:spPr>
          </c:dPt>
          <c:dPt>
            <c:idx val="506"/>
            <c:spPr>
              <a:solidFill>
                <a:srgbClr val="6054B9"/>
              </a:solidFill>
            </c:spPr>
          </c:dPt>
          <c:dPt>
            <c:idx val="507"/>
            <c:spPr>
              <a:solidFill>
                <a:srgbClr val="303841"/>
              </a:solidFill>
            </c:spPr>
          </c:dPt>
          <c:dPt>
            <c:idx val="508"/>
            <c:spPr>
              <a:solidFill>
                <a:srgbClr val="FFCC02"/>
              </a:solidFill>
            </c:spPr>
          </c:dPt>
          <c:dPt>
            <c:idx val="509"/>
            <c:spPr>
              <a:solidFill>
                <a:srgbClr val="7C3C62"/>
              </a:solidFill>
            </c:spPr>
          </c:dPt>
          <c:dPt>
            <c:idx val="510"/>
            <c:spPr>
              <a:solidFill>
                <a:srgbClr val="16AC0D"/>
              </a:solidFill>
            </c:spPr>
          </c:dPt>
          <c:dPt>
            <c:idx val="511"/>
            <c:spPr>
              <a:solidFill>
                <a:srgbClr val="02FD54"/>
              </a:solidFill>
            </c:spPr>
          </c:dPt>
          <c:dPt>
            <c:idx val="512"/>
            <c:spPr>
              <a:solidFill>
                <a:srgbClr val="616905"/>
              </a:solidFill>
            </c:spPr>
          </c:dPt>
          <c:dPt>
            <c:idx val="513"/>
            <c:spPr>
              <a:solidFill>
                <a:srgbClr val="6D5375"/>
              </a:solidFill>
            </c:spPr>
          </c:dPt>
          <c:dPt>
            <c:idx val="514"/>
            <c:spPr>
              <a:solidFill>
                <a:srgbClr val="FFF84E"/>
              </a:solidFill>
            </c:spPr>
          </c:dPt>
          <c:dPt>
            <c:idx val="515"/>
            <c:spPr>
              <a:solidFill>
                <a:srgbClr val="B45074"/>
              </a:solidFill>
            </c:spPr>
          </c:dPt>
          <c:dPt>
            <c:idx val="516"/>
            <c:spPr>
              <a:solidFill>
                <a:srgbClr val="4ED110"/>
              </a:solidFill>
            </c:spPr>
          </c:dPt>
          <c:dPt>
            <c:idx val="517"/>
            <c:spPr>
              <a:solidFill>
                <a:srgbClr val="083591"/>
              </a:solidFill>
            </c:spPr>
          </c:dPt>
          <c:dPt>
            <c:idx val="518"/>
            <c:spPr>
              <a:solidFill>
                <a:srgbClr val="627D50"/>
              </a:solidFill>
            </c:spPr>
          </c:dPt>
          <c:dPt>
            <c:idx val="519"/>
            <c:spPr>
              <a:solidFill>
                <a:srgbClr val="A96DA9"/>
              </a:solidFill>
            </c:spPr>
          </c:dPt>
          <c:dPt>
            <c:idx val="520"/>
            <c:spPr>
              <a:solidFill>
                <a:srgbClr val="FF249A"/>
              </a:solidFill>
            </c:spPr>
          </c:dPt>
          <c:dPt>
            <c:idx val="521"/>
            <c:spPr>
              <a:solidFill>
                <a:srgbClr val="EB6485"/>
              </a:solidFill>
            </c:spPr>
          </c:dPt>
          <c:dPt>
            <c:idx val="522"/>
            <c:spPr>
              <a:solidFill>
                <a:srgbClr val="87F513"/>
              </a:solidFill>
            </c:spPr>
          </c:dPt>
          <c:dPt>
            <c:idx val="523"/>
            <c:spPr>
              <a:solidFill>
                <a:srgbClr val="0E6ECD"/>
              </a:solidFill>
            </c:spPr>
          </c:dPt>
          <c:dPt>
            <c:idx val="524"/>
            <c:spPr>
              <a:solidFill>
                <a:srgbClr val="63919B"/>
              </a:solidFill>
            </c:spPr>
          </c:dPt>
          <c:dPt>
            <c:idx val="525"/>
            <c:spPr>
              <a:solidFill>
                <a:srgbClr val="E687DC"/>
              </a:solidFill>
            </c:spPr>
          </c:dPt>
          <c:dPt>
            <c:idx val="526"/>
            <c:spPr>
              <a:solidFill>
                <a:srgbClr val="FF50E6"/>
              </a:solidFill>
            </c:spPr>
          </c:dPt>
          <c:dPt>
            <c:idx val="527"/>
            <c:spPr>
              <a:solidFill>
                <a:srgbClr val="237896"/>
              </a:solidFill>
            </c:spPr>
          </c:dPt>
          <c:dPt>
            <c:idx val="528"/>
            <c:spPr>
              <a:solidFill>
                <a:srgbClr val="C01A16"/>
              </a:solidFill>
            </c:spPr>
          </c:dPt>
          <c:dPt>
            <c:idx val="529"/>
            <c:spPr>
              <a:solidFill>
                <a:srgbClr val="14A60A"/>
              </a:solidFill>
            </c:spPr>
          </c:dPt>
          <c:dPt>
            <c:idx val="530"/>
            <c:spPr>
              <a:solidFill>
                <a:srgbClr val="65A5E6"/>
              </a:solidFill>
            </c:spPr>
          </c:dPt>
          <c:dPt>
            <c:idx val="531"/>
            <c:spPr>
              <a:solidFill>
                <a:srgbClr val="23A110"/>
              </a:solidFill>
            </c:spPr>
          </c:dPt>
          <c:dPt>
            <c:idx val="532"/>
            <c:spPr>
              <a:solidFill>
                <a:srgbClr val="FF7B33"/>
              </a:solidFill>
            </c:spPr>
          </c:dPt>
          <c:dPt>
            <c:idx val="533"/>
            <c:spPr>
              <a:solidFill>
                <a:srgbClr val="5A8BA7"/>
              </a:solidFill>
            </c:spPr>
          </c:dPt>
          <c:dPt>
            <c:idx val="534"/>
            <c:spPr>
              <a:solidFill>
                <a:srgbClr val="F83E1A"/>
              </a:solidFill>
            </c:spPr>
          </c:dPt>
          <c:dPt>
            <c:idx val="535"/>
            <c:spPr>
              <a:solidFill>
                <a:srgbClr val="1BDF46"/>
              </a:solidFill>
            </c:spPr>
          </c:dPt>
          <c:dPt>
            <c:idx val="536"/>
            <c:spPr>
              <a:solidFill>
                <a:srgbClr val="66B932"/>
              </a:solidFill>
            </c:spPr>
          </c:dPt>
          <c:dPt>
            <c:idx val="537"/>
            <c:spPr>
              <a:solidFill>
                <a:srgbClr val="60BB43"/>
              </a:solidFill>
            </c:spPr>
          </c:dPt>
          <c:dPt>
            <c:idx val="538"/>
            <c:spPr>
              <a:solidFill>
                <a:srgbClr val="FFA77F"/>
              </a:solidFill>
            </c:spPr>
          </c:dPt>
          <c:dPt>
            <c:idx val="539"/>
            <c:spPr>
              <a:solidFill>
                <a:srgbClr val="929FB8"/>
              </a:solidFill>
            </c:spPr>
          </c:dPt>
          <c:dPt>
            <c:idx val="540"/>
            <c:spPr>
              <a:solidFill>
                <a:srgbClr val="31631D"/>
              </a:solidFill>
            </c:spPr>
          </c:dPt>
          <c:dPt>
            <c:idx val="541"/>
            <c:spPr>
              <a:solidFill>
                <a:srgbClr val="211783"/>
              </a:solidFill>
            </c:spPr>
          </c:dPt>
          <c:dPt>
            <c:idx val="542"/>
            <c:spPr>
              <a:solidFill>
                <a:srgbClr val="67CD7D"/>
              </a:solidFill>
            </c:spPr>
          </c:dPt>
          <c:dPt>
            <c:idx val="543"/>
            <c:spPr>
              <a:solidFill>
                <a:srgbClr val="9DD577"/>
              </a:solidFill>
            </c:spPr>
          </c:dPt>
          <c:dPt>
            <c:idx val="544"/>
            <c:spPr>
              <a:solidFill>
                <a:srgbClr val="FFD3CB"/>
              </a:solidFill>
            </c:spPr>
          </c:dPt>
          <c:dPt>
            <c:idx val="545"/>
            <c:spPr>
              <a:solidFill>
                <a:srgbClr val="C9B3C9"/>
              </a:solidFill>
            </c:spPr>
          </c:dPt>
          <c:dPt>
            <c:idx val="546"/>
            <c:spPr>
              <a:solidFill>
                <a:srgbClr val="6A8820"/>
              </a:solidFill>
            </c:spPr>
          </c:dPt>
          <c:dPt>
            <c:idx val="547"/>
            <c:spPr>
              <a:solidFill>
                <a:srgbClr val="274FC0"/>
              </a:solidFill>
            </c:spPr>
          </c:dPt>
          <c:dPt>
            <c:idx val="548"/>
            <c:spPr>
              <a:solidFill>
                <a:srgbClr val="68E1C8"/>
              </a:solidFill>
            </c:spPr>
          </c:dPt>
          <c:dPt>
            <c:idx val="549"/>
            <c:spPr>
              <a:solidFill>
                <a:srgbClr val="DAEFAB"/>
              </a:solidFill>
            </c:spPr>
          </c:dPt>
          <c:dPt>
            <c:idx val="550"/>
            <c:spPr>
              <a:solidFill>
                <a:srgbClr val="FFFF17"/>
              </a:solidFill>
            </c:spPr>
          </c:dPt>
          <c:dPt>
            <c:idx val="551"/>
            <c:spPr>
              <a:solidFill>
                <a:srgbClr val="01C7DA"/>
              </a:solidFill>
            </c:spPr>
          </c:dPt>
          <c:dPt>
            <c:idx val="552"/>
            <c:spPr>
              <a:solidFill>
                <a:srgbClr val="A2AC24"/>
              </a:solidFill>
            </c:spPr>
          </c:dPt>
          <c:dPt>
            <c:idx val="553"/>
            <c:spPr>
              <a:solidFill>
                <a:srgbClr val="2E88FC"/>
              </a:solidFill>
            </c:spPr>
          </c:dPt>
          <c:dPt>
            <c:idx val="554"/>
            <c:spPr>
              <a:solidFill>
                <a:srgbClr val="69F514"/>
              </a:solidFill>
            </c:spPr>
          </c:dPt>
          <c:dPt>
            <c:idx val="555"/>
            <c:spPr>
              <a:solidFill>
                <a:srgbClr val="1709DE"/>
              </a:solidFill>
            </c:spPr>
          </c:dPt>
          <c:dPt>
            <c:idx val="556"/>
            <c:spPr>
              <a:solidFill>
                <a:srgbClr val="FF2B63"/>
              </a:solidFill>
            </c:spPr>
          </c:dPt>
          <c:dPt>
            <c:idx val="557"/>
            <c:spPr>
              <a:solidFill>
                <a:srgbClr val="38DBEB"/>
              </a:solidFill>
            </c:spPr>
          </c:dPt>
          <c:dPt>
            <c:idx val="558"/>
            <c:spPr>
              <a:solidFill>
                <a:srgbClr val="DBD127"/>
              </a:solidFill>
            </c:spPr>
          </c:dPt>
          <c:dPt>
            <c:idx val="559"/>
            <c:spPr>
              <a:solidFill>
                <a:srgbClr val="34C039"/>
              </a:solidFill>
            </c:spPr>
          </c:dPt>
          <c:dPt>
            <c:idx val="560"/>
            <c:spPr>
              <a:solidFill>
                <a:srgbClr val="6B095F"/>
              </a:solidFill>
            </c:spPr>
          </c:dPt>
          <c:dPt>
            <c:idx val="561"/>
            <c:spPr>
              <a:solidFill>
                <a:srgbClr val="542312"/>
              </a:solidFill>
            </c:spPr>
          </c:dPt>
          <c:dPt>
            <c:idx val="562"/>
            <c:spPr>
              <a:solidFill>
                <a:srgbClr val="FF56B0"/>
              </a:solidFill>
            </c:spPr>
          </c:dPt>
          <c:dPt>
            <c:idx val="563"/>
            <c:spPr>
              <a:solidFill>
                <a:srgbClr val="70EEFC"/>
              </a:solidFill>
            </c:spPr>
          </c:dPt>
          <c:dPt>
            <c:idx val="564"/>
            <c:spPr>
              <a:solidFill>
                <a:srgbClr val="14F52A"/>
              </a:solidFill>
            </c:spPr>
          </c:dPt>
          <c:dPt>
            <c:idx val="565"/>
            <c:spPr>
              <a:solidFill>
                <a:srgbClr val="3AF975"/>
              </a:solidFill>
            </c:spPr>
          </c:dPt>
          <c:dPt>
            <c:idx val="566"/>
            <c:spPr>
              <a:solidFill>
                <a:srgbClr val="6C1DAA"/>
              </a:solidFill>
            </c:spPr>
          </c:dPt>
          <c:dPt>
            <c:idx val="567"/>
            <c:spPr>
              <a:solidFill>
                <a:srgbClr val="913D45"/>
              </a:solidFill>
            </c:spPr>
          </c:dPt>
          <c:dPt>
            <c:idx val="568"/>
            <c:spPr>
              <a:solidFill>
                <a:srgbClr val="FF82FC"/>
              </a:solidFill>
            </c:spPr>
          </c:dPt>
          <c:dPt>
            <c:idx val="569"/>
            <c:spPr>
              <a:solidFill>
                <a:srgbClr val="A7020D"/>
              </a:solidFill>
            </c:spPr>
          </c:dPt>
          <c:dPt>
            <c:idx val="570"/>
            <c:spPr>
              <a:solidFill>
                <a:srgbClr val="4D1A2E"/>
              </a:solidFill>
            </c:spPr>
          </c:dPt>
          <c:dPt>
            <c:idx val="571"/>
            <c:spPr>
              <a:solidFill>
                <a:srgbClr val="4131B2"/>
              </a:solidFill>
            </c:spPr>
          </c:dPt>
          <c:dPt>
            <c:idx val="572"/>
            <c:spPr>
              <a:solidFill>
                <a:srgbClr val="6D32F6"/>
              </a:solidFill>
            </c:spPr>
          </c:dPt>
          <c:dPt>
            <c:idx val="573"/>
            <c:spPr>
              <a:solidFill>
                <a:srgbClr val="CE5879"/>
              </a:solidFill>
            </c:spPr>
          </c:dPt>
          <c:dPt>
            <c:idx val="574"/>
            <c:spPr>
              <a:solidFill>
                <a:srgbClr val="FFAE48"/>
              </a:solidFill>
            </c:spPr>
          </c:dPt>
          <c:dPt>
            <c:idx val="575"/>
            <c:spPr>
              <a:solidFill>
                <a:srgbClr val="DF161F"/>
              </a:solidFill>
            </c:spPr>
          </c:dPt>
          <c:dPt>
            <c:idx val="576"/>
            <c:spPr>
              <a:solidFill>
                <a:srgbClr val="853F31"/>
              </a:solidFill>
            </c:spPr>
          </c:dPt>
          <c:dPt>
            <c:idx val="577"/>
            <c:spPr>
              <a:solidFill>
                <a:srgbClr val="4769EF"/>
              </a:solidFill>
            </c:spPr>
          </c:dPt>
          <c:dPt>
            <c:idx val="578"/>
            <c:spPr>
              <a:solidFill>
                <a:srgbClr val="6E4641"/>
              </a:solidFill>
            </c:spPr>
          </c:dPt>
          <c:dPt>
            <c:idx val="579"/>
            <c:spPr>
              <a:solidFill>
                <a:srgbClr val="0A72AD"/>
              </a:solidFill>
            </c:spPr>
          </c:dPt>
          <c:dPt>
            <c:idx val="580"/>
            <c:spPr>
              <a:solidFill>
                <a:srgbClr val="FFDA94"/>
              </a:solidFill>
            </c:spPr>
          </c:dPt>
          <c:dPt>
            <c:idx val="581"/>
            <c:spPr>
              <a:solidFill>
                <a:srgbClr val="162A30"/>
              </a:solidFill>
            </c:spPr>
          </c:dPt>
          <c:dPt>
            <c:idx val="582"/>
            <c:spPr>
              <a:solidFill>
                <a:srgbClr val="BE6334"/>
              </a:solidFill>
            </c:spPr>
          </c:dPt>
          <c:dPt>
            <c:idx val="583"/>
            <c:spPr>
              <a:solidFill>
                <a:srgbClr val="4DA22B"/>
              </a:solidFill>
            </c:spPr>
          </c:dPt>
          <c:dPt>
            <c:idx val="584"/>
            <c:spPr>
              <a:solidFill>
                <a:srgbClr val="6F5A8C"/>
              </a:solidFill>
            </c:spPr>
          </c:dPt>
          <c:dPt>
            <c:idx val="585"/>
            <c:spPr>
              <a:solidFill>
                <a:srgbClr val="478CE0"/>
              </a:solidFill>
            </c:spPr>
          </c:dPt>
          <c:dPt>
            <c:idx val="586"/>
            <c:spPr>
              <a:solidFill>
                <a:srgbClr val="FF06E0"/>
              </a:solidFill>
            </c:spPr>
          </c:dPt>
          <c:dPt>
            <c:idx val="587"/>
            <c:spPr>
              <a:solidFill>
                <a:srgbClr val="4E3E41"/>
              </a:solidFill>
            </c:spPr>
          </c:dPt>
          <c:dPt>
            <c:idx val="588"/>
            <c:spPr>
              <a:solidFill>
                <a:srgbClr val="F78837"/>
              </a:solidFill>
            </c:spPr>
          </c:dPt>
          <c:dPt>
            <c:idx val="589"/>
            <c:spPr>
              <a:solidFill>
                <a:srgbClr val="53DA68"/>
              </a:solidFill>
            </c:spPr>
          </c:dPt>
          <c:dPt>
            <c:idx val="590"/>
            <c:spPr>
              <a:solidFill>
                <a:srgbClr val="716ED7"/>
              </a:solidFill>
            </c:spPr>
          </c:dPt>
          <c:dPt>
            <c:idx val="591"/>
            <c:spPr>
              <a:solidFill>
                <a:srgbClr val="84A614"/>
              </a:solidFill>
            </c:spPr>
          </c:dPt>
          <c:dPt>
            <c:idx val="592"/>
            <c:spPr>
              <a:solidFill>
                <a:srgbClr val="FF312D"/>
              </a:solidFill>
            </c:spPr>
          </c:dPt>
          <c:dPt>
            <c:idx val="593"/>
            <c:spPr>
              <a:solidFill>
                <a:srgbClr val="855152"/>
              </a:solidFill>
            </c:spPr>
          </c:dPt>
          <c:dPt>
            <c:idx val="594"/>
            <c:spPr>
              <a:solidFill>
                <a:srgbClr val="2FAC3B"/>
              </a:solidFill>
            </c:spPr>
          </c:dPt>
          <c:dPt>
            <c:idx val="595"/>
            <c:spPr>
              <a:solidFill>
                <a:srgbClr val="5A13A4"/>
              </a:solidFill>
            </c:spPr>
          </c:dPt>
          <c:dPt>
            <c:idx val="596"/>
            <c:spPr>
              <a:solidFill>
                <a:srgbClr val="728223"/>
              </a:solidFill>
            </c:spPr>
          </c:dPt>
          <c:dPt>
            <c:idx val="597"/>
            <c:spPr>
              <a:solidFill>
                <a:srgbClr val="C1C047"/>
              </a:solidFill>
            </c:spPr>
          </c:dPt>
          <c:dPt>
            <c:idx val="598"/>
            <c:spPr>
              <a:solidFill>
                <a:srgbClr val="FF5D79"/>
              </a:solidFill>
            </c:spPr>
          </c:dPt>
          <c:dPt>
            <c:idx val="599"/>
            <c:spPr>
              <a:solidFill>
                <a:srgbClr val="BD6563"/>
              </a:solidFill>
            </c:spPr>
          </c:dPt>
          <c:dPt>
            <c:idx val="600"/>
            <c:spPr>
              <a:solidFill>
                <a:srgbClr val="68D13E"/>
              </a:solidFill>
            </c:spPr>
          </c:dPt>
          <c:dPt>
            <c:idx val="601"/>
            <c:spPr>
              <a:solidFill>
                <a:srgbClr val="604BE1"/>
              </a:solidFill>
            </c:spPr>
          </c:dPt>
          <c:dPt>
            <c:idx val="602"/>
            <c:spPr>
              <a:solidFill>
                <a:srgbClr val="73966E"/>
              </a:solidFill>
            </c:spPr>
          </c:dPt>
          <c:dPt>
            <c:idx val="603"/>
            <c:spPr>
              <a:solidFill>
                <a:srgbClr val="FEDA7B"/>
              </a:solidFill>
            </c:spPr>
          </c:dPt>
          <c:dPt>
            <c:idx val="604"/>
            <c:spPr>
              <a:solidFill>
                <a:srgbClr val="FF89C5"/>
              </a:solidFill>
            </c:spPr>
          </c:dPt>
          <c:dPt>
            <c:idx val="605"/>
            <c:spPr>
              <a:solidFill>
                <a:srgbClr val="F47974"/>
              </a:solidFill>
            </c:spPr>
          </c:dPt>
          <c:dPt>
            <c:idx val="606"/>
            <c:spPr>
              <a:solidFill>
                <a:srgbClr val="A1F641"/>
              </a:solidFill>
            </c:spPr>
          </c:dPt>
          <c:dPt>
            <c:idx val="607"/>
            <c:spPr>
              <a:solidFill>
                <a:srgbClr val="66831E"/>
              </a:solidFill>
            </c:spPr>
          </c:dPt>
          <c:dPt>
            <c:idx val="608"/>
            <c:spPr>
              <a:solidFill>
                <a:srgbClr val="74AAB9"/>
              </a:solidFill>
            </c:spPr>
          </c:dPt>
          <c:dPt>
            <c:idx val="609"/>
            <c:spPr>
              <a:solidFill>
                <a:srgbClr val="3BF4AF"/>
              </a:solidFill>
            </c:spPr>
          </c:dPt>
          <c:dPt>
            <c:idx val="610"/>
            <c:spPr>
              <a:solidFill>
                <a:srgbClr val="FFB511"/>
              </a:solidFill>
            </c:spPr>
          </c:dPt>
          <c:dPt>
            <c:idx val="611"/>
            <c:spPr>
              <a:solidFill>
                <a:srgbClr val="2C8D85"/>
              </a:solidFill>
            </c:spPr>
          </c:dPt>
          <c:dPt>
            <c:idx val="612"/>
            <c:spPr>
              <a:solidFill>
                <a:srgbClr val="D91A45"/>
              </a:solidFill>
            </c:spPr>
          </c:dPt>
          <c:dPt>
            <c:idx val="613"/>
            <c:spPr>
              <a:solidFill>
                <a:srgbClr val="6DBC5A"/>
              </a:solidFill>
            </c:spPr>
          </c:dPt>
          <c:dPt>
            <c:idx val="614"/>
            <c:spPr>
              <a:solidFill>
                <a:srgbClr val="75BE05"/>
              </a:solidFill>
            </c:spPr>
          </c:dPt>
          <c:dPt>
            <c:idx val="615"/>
            <c:spPr>
              <a:solidFill>
                <a:srgbClr val="780EE2"/>
              </a:solidFill>
            </c:spPr>
          </c:dPt>
          <c:dPt>
            <c:idx val="616"/>
            <c:spPr>
              <a:solidFill>
                <a:srgbClr val="FFE15D"/>
              </a:solidFill>
            </c:spPr>
          </c:dPt>
          <c:dPt>
            <c:idx val="617"/>
            <c:spPr>
              <a:solidFill>
                <a:srgbClr val="63A196"/>
              </a:solidFill>
            </c:spPr>
          </c:dPt>
          <c:dPt>
            <c:idx val="618"/>
            <c:spPr>
              <a:solidFill>
                <a:srgbClr val="123F48"/>
              </a:solidFill>
            </c:spPr>
          </c:dPt>
          <c:dPt>
            <c:idx val="619"/>
            <c:spPr>
              <a:solidFill>
                <a:srgbClr val="73F497"/>
              </a:solidFill>
            </c:spPr>
          </c:dPt>
          <c:dPt>
            <c:idx val="620"/>
            <c:spPr>
              <a:solidFill>
                <a:srgbClr val="77D250"/>
              </a:solidFill>
            </c:spPr>
          </c:dPt>
          <c:dPt>
            <c:idx val="621"/>
            <c:spPr>
              <a:solidFill>
                <a:srgbClr val="B52816"/>
              </a:solidFill>
            </c:spPr>
          </c:dPt>
          <c:dPt>
            <c:idx val="622"/>
            <c:spPr>
              <a:solidFill>
                <a:srgbClr val="FF0CAA"/>
              </a:solidFill>
            </c:spPr>
          </c:dPt>
          <c:dPt>
            <c:idx val="623"/>
            <c:spPr>
              <a:solidFill>
                <a:srgbClr val="9BB4A7"/>
              </a:solidFill>
            </c:spPr>
          </c:dPt>
          <c:dPt>
            <c:idx val="624"/>
            <c:spPr>
              <a:solidFill>
                <a:srgbClr val="4B634B"/>
              </a:solidFill>
            </c:spPr>
          </c:dPt>
          <c:dPt>
            <c:idx val="625"/>
            <c:spPr>
              <a:solidFill>
                <a:srgbClr val="792DD3"/>
              </a:solidFill>
            </c:spPr>
          </c:dPt>
          <c:dPt>
            <c:idx val="626"/>
            <c:spPr>
              <a:solidFill>
                <a:srgbClr val="78E69B"/>
              </a:solidFill>
            </c:spPr>
          </c:dPt>
          <c:dPt>
            <c:idx val="627"/>
            <c:spPr>
              <a:solidFill>
                <a:srgbClr val="F24249"/>
              </a:solidFill>
            </c:spPr>
          </c:dPt>
          <c:dPt>
            <c:idx val="628"/>
            <c:spPr>
              <a:solidFill>
                <a:srgbClr val="FF38F6"/>
              </a:solidFill>
            </c:spPr>
          </c:dPt>
          <c:dPt>
            <c:idx val="629"/>
            <c:spPr>
              <a:solidFill>
                <a:srgbClr val="D2C8B8"/>
              </a:solidFill>
            </c:spPr>
          </c:dPt>
          <c:dPt>
            <c:idx val="630"/>
            <c:spPr>
              <a:solidFill>
                <a:srgbClr val="84884F"/>
              </a:solidFill>
            </c:spPr>
          </c:dPt>
          <c:dPt>
            <c:idx val="631"/>
            <c:spPr>
              <a:solidFill>
                <a:srgbClr val="806510"/>
              </a:solidFill>
            </c:spPr>
          </c:dPt>
          <c:dPt>
            <c:idx val="632"/>
            <c:spPr>
              <a:solidFill>
                <a:srgbClr val="79FBE7"/>
              </a:solidFill>
            </c:spPr>
          </c:dPt>
          <c:dPt>
            <c:idx val="633"/>
            <c:spPr>
              <a:solidFill>
                <a:srgbClr val="2F5D7D"/>
              </a:solidFill>
            </c:spPr>
          </c:dPt>
          <c:dPt>
            <c:idx val="634"/>
            <c:spPr>
              <a:solidFill>
                <a:srgbClr val="FF6442"/>
              </a:solidFill>
            </c:spPr>
          </c:dPt>
          <c:dPt>
            <c:idx val="635"/>
            <c:spPr>
              <a:solidFill>
                <a:srgbClr val="0ADCCA"/>
              </a:solidFill>
            </c:spPr>
          </c:dPt>
          <c:dPt>
            <c:idx val="636"/>
            <c:spPr>
              <a:solidFill>
                <a:srgbClr val="BCAD52"/>
              </a:solidFill>
            </c:spPr>
          </c:dPt>
          <c:dPt>
            <c:idx val="637"/>
            <c:spPr>
              <a:solidFill>
                <a:srgbClr val="869D4D"/>
              </a:solidFill>
            </c:spPr>
          </c:dPt>
          <c:dPt>
            <c:idx val="638"/>
            <c:spPr>
              <a:solidFill>
                <a:srgbClr val="7A0F32"/>
              </a:solidFill>
            </c:spPr>
          </c:dPt>
          <c:dPt>
            <c:idx val="639"/>
            <c:spPr>
              <a:solidFill>
                <a:srgbClr val="6B77B1"/>
              </a:solidFill>
            </c:spPr>
          </c:dPt>
          <c:dPt>
            <c:idx val="640"/>
            <c:spPr>
              <a:solidFill>
                <a:srgbClr val="FF908E"/>
              </a:solidFill>
            </c:spPr>
          </c:dPt>
          <c:dPt>
            <c:idx val="641"/>
            <c:spPr>
              <a:solidFill>
                <a:srgbClr val="41F0DB"/>
              </a:solidFill>
            </c:spPr>
          </c:dPt>
          <c:dPt>
            <c:idx val="642"/>
            <c:spPr>
              <a:solidFill>
                <a:srgbClr val="F5D155"/>
              </a:solidFill>
            </c:spPr>
          </c:dPt>
          <c:dPt>
            <c:idx val="643"/>
            <c:spPr>
              <a:solidFill>
                <a:srgbClr val="8CD689"/>
              </a:solidFill>
            </c:spPr>
          </c:dPt>
          <c:dPt>
            <c:idx val="644"/>
            <c:spPr>
              <a:solidFill>
                <a:srgbClr val="7B237D"/>
              </a:solidFill>
            </c:spPr>
          </c:dPt>
          <c:dPt>
            <c:idx val="645"/>
            <c:spPr>
              <a:solidFill>
                <a:srgbClr val="A891E4"/>
              </a:solidFill>
            </c:spPr>
          </c:dPt>
          <c:dPt>
            <c:idx val="646"/>
            <c:spPr>
              <a:solidFill>
                <a:srgbClr val="FFBCDA"/>
              </a:solidFill>
            </c:spPr>
          </c:dPt>
          <c:dPt>
            <c:idx val="647"/>
            <c:spPr>
              <a:solidFill>
                <a:srgbClr val="7804EC"/>
              </a:solidFill>
            </c:spPr>
          </c:dPt>
          <c:dPt>
            <c:idx val="648"/>
            <c:spPr>
              <a:solidFill>
                <a:srgbClr val="2EF658"/>
              </a:solidFill>
            </c:spPr>
          </c:dPt>
          <c:dPt>
            <c:idx val="649"/>
            <c:spPr>
              <a:solidFill>
                <a:srgbClr val="920EC6"/>
              </a:solidFill>
            </c:spPr>
          </c:dPt>
          <c:dPt>
            <c:idx val="650"/>
            <c:spPr>
              <a:solidFill>
                <a:srgbClr val="7D37C8"/>
              </a:solidFill>
            </c:spPr>
          </c:dPt>
          <c:dPt>
            <c:idx val="651"/>
            <c:spPr>
              <a:solidFill>
                <a:srgbClr val="E5AB18"/>
              </a:solidFill>
            </c:spPr>
          </c:dPt>
          <c:dPt>
            <c:idx val="652"/>
            <c:spPr>
              <a:solidFill>
                <a:srgbClr val="FFE727"/>
              </a:solidFill>
            </c:spPr>
          </c:dPt>
          <c:dPt>
            <c:idx val="653"/>
            <c:spPr>
              <a:solidFill>
                <a:srgbClr val="B017FD"/>
              </a:solidFill>
            </c:spPr>
          </c:dPt>
          <c:dPt>
            <c:idx val="654"/>
            <c:spPr>
              <a:solidFill>
                <a:srgbClr val="661A5C"/>
              </a:solidFill>
            </c:spPr>
          </c:dPt>
          <c:dPt>
            <c:idx val="655"/>
            <c:spPr>
              <a:solidFill>
                <a:srgbClr val="994702"/>
              </a:solidFill>
            </c:spPr>
          </c:dPt>
          <c:dPt>
            <c:idx val="656"/>
            <c:spPr>
              <a:solidFill>
                <a:srgbClr val="7E4B14"/>
              </a:solidFill>
            </c:spPr>
          </c:dPt>
          <c:dPt>
            <c:idx val="657"/>
            <c:spPr>
              <a:solidFill>
                <a:srgbClr val="22C54B"/>
              </a:solidFill>
            </c:spPr>
          </c:dPt>
          <c:dPt>
            <c:idx val="658"/>
            <c:spPr>
              <a:solidFill>
                <a:srgbClr val="FF1373"/>
              </a:solidFill>
            </c:spPr>
          </c:dPt>
          <c:dPt>
            <c:idx val="659"/>
            <c:spPr>
              <a:solidFill>
                <a:srgbClr val="E82B0E"/>
              </a:solidFill>
            </c:spPr>
          </c:dPt>
          <c:dPt>
            <c:idx val="660"/>
            <c:spPr>
              <a:solidFill>
                <a:srgbClr val="9F3F5F"/>
              </a:solidFill>
            </c:spPr>
          </c:dPt>
          <c:dPt>
            <c:idx val="661"/>
            <c:spPr>
              <a:solidFill>
                <a:srgbClr val="9F7F3F"/>
              </a:solidFill>
            </c:spPr>
          </c:dPt>
          <c:dPt>
            <c:idx val="662"/>
            <c:spPr>
              <a:solidFill>
                <a:srgbClr val="7F5F5F"/>
              </a:solidFill>
            </c:spPr>
          </c:dPt>
          <c:dPt>
            <c:idx val="663"/>
            <c:spPr>
              <a:solidFill>
                <a:srgbClr val="5FDF7F"/>
              </a:solidFill>
            </c:spPr>
          </c:dPt>
          <c:dPt>
            <c:idx val="664"/>
            <c:spPr>
              <a:solidFill>
                <a:srgbClr val="FF3FBF"/>
              </a:solidFill>
            </c:spPr>
          </c:dPt>
          <c:dPt>
            <c:idx val="665"/>
            <c:spPr>
              <a:solidFill>
                <a:srgbClr val="1F3F1F"/>
              </a:solidFill>
            </c:spPr>
          </c:dPt>
          <c:dPt>
            <c:idx val="666"/>
            <c:spPr>
              <a:solidFill>
                <a:srgbClr val="D86462"/>
              </a:solidFill>
            </c:spPr>
          </c:dPt>
          <c:dPt>
            <c:idx val="667"/>
            <c:spPr>
              <a:solidFill>
                <a:srgbClr val="A5B77C"/>
              </a:solidFill>
            </c:spPr>
          </c:dPt>
          <c:dPt>
            <c:idx val="668"/>
            <c:spPr>
              <a:solidFill>
                <a:srgbClr val="8073AA"/>
              </a:solidFill>
            </c:spPr>
          </c:dPt>
          <c:dPt>
            <c:idx val="669"/>
            <c:spPr>
              <a:solidFill>
                <a:srgbClr val="9CF9B3"/>
              </a:solidFill>
            </c:spPr>
          </c:dPt>
          <c:dPt>
            <c:idx val="670"/>
            <c:spPr>
              <a:solidFill>
                <a:srgbClr val="FF6B0B"/>
              </a:solidFill>
            </c:spPr>
          </c:dPt>
          <c:dPt>
            <c:idx val="671"/>
            <c:spPr>
              <a:solidFill>
                <a:srgbClr val="575330"/>
              </a:solidFill>
            </c:spPr>
          </c:dPt>
          <c:dPt>
            <c:idx val="672"/>
            <c:spPr>
              <a:solidFill>
                <a:srgbClr val="108866"/>
              </a:solidFill>
            </c:spPr>
          </c:dPt>
          <c:dPt>
            <c:idx val="673"/>
            <c:spPr>
              <a:solidFill>
                <a:srgbClr val="ACF0B8"/>
              </a:solidFill>
            </c:spPr>
          </c:dPt>
          <c:dPt>
            <c:idx val="674"/>
            <c:spPr>
              <a:solidFill>
                <a:srgbClr val="8187F6"/>
              </a:solidFill>
            </c:spPr>
          </c:dPt>
          <c:dPt>
            <c:idx val="675"/>
            <c:spPr>
              <a:solidFill>
                <a:srgbClr val="D913E6"/>
              </a:solidFill>
            </c:spPr>
          </c:dPt>
          <c:dPt>
            <c:idx val="676"/>
            <c:spPr>
              <a:solidFill>
                <a:srgbClr val="FF9757"/>
              </a:solidFill>
            </c:spPr>
          </c:dPt>
          <c:dPt>
            <c:idx val="677"/>
            <c:spPr>
              <a:solidFill>
                <a:srgbClr val="8E6741"/>
              </a:solidFill>
            </c:spPr>
          </c:dPt>
          <c:dPt>
            <c:idx val="678"/>
            <c:spPr>
              <a:solidFill>
                <a:srgbClr val="49AD69"/>
              </a:solidFill>
            </c:spPr>
          </c:dPt>
          <c:dPt>
            <c:idx val="679"/>
            <c:spPr>
              <a:solidFill>
                <a:srgbClr val="B228F5"/>
              </a:solidFill>
            </c:spPr>
          </c:dPt>
          <c:dPt>
            <c:idx val="680"/>
            <c:spPr>
              <a:solidFill>
                <a:srgbClr val="839B41"/>
              </a:solidFill>
            </c:spPr>
          </c:dPt>
          <c:dPt>
            <c:idx val="681"/>
            <c:spPr>
              <a:solidFill>
                <a:srgbClr val="162D1A"/>
              </a:solidFill>
            </c:spPr>
          </c:dPt>
          <c:dPt>
            <c:idx val="682"/>
            <c:spPr>
              <a:solidFill>
                <a:srgbClr val="FFC2A4"/>
              </a:solidFill>
            </c:spPr>
          </c:dPt>
          <c:dPt>
            <c:idx val="683"/>
            <c:spPr>
              <a:solidFill>
                <a:srgbClr val="C67A52"/>
              </a:solidFill>
            </c:spPr>
          </c:dPt>
          <c:dPt>
            <c:idx val="684"/>
            <c:spPr>
              <a:solidFill>
                <a:srgbClr val="82D16C"/>
              </a:solidFill>
            </c:spPr>
          </c:dPt>
          <c:dPt>
            <c:idx val="685"/>
            <c:spPr>
              <a:solidFill>
                <a:srgbClr val="B86131"/>
              </a:solidFill>
            </c:spPr>
          </c:dPt>
          <c:dPt>
            <c:idx val="686"/>
            <c:spPr>
              <a:solidFill>
                <a:srgbClr val="84AF8C"/>
              </a:solidFill>
            </c:spPr>
          </c:dPt>
          <c:dPt>
            <c:idx val="687"/>
            <c:spPr>
              <a:solidFill>
                <a:srgbClr val="53474D"/>
              </a:solidFill>
            </c:spPr>
          </c:dPt>
          <c:dPt>
            <c:idx val="688"/>
            <c:spPr>
              <a:solidFill>
                <a:srgbClr val="FFEEF0"/>
              </a:solidFill>
            </c:spPr>
          </c:dPt>
          <c:dPt>
            <c:idx val="689"/>
            <c:spPr>
              <a:solidFill>
                <a:srgbClr val="FD8E63"/>
              </a:solidFill>
            </c:spPr>
          </c:dPt>
          <c:dPt>
            <c:idx val="690"/>
            <c:spPr>
              <a:solidFill>
                <a:srgbClr val="BBF670"/>
              </a:solidFill>
            </c:spPr>
          </c:dPt>
          <c:dPt>
            <c:idx val="691"/>
            <c:spPr>
              <a:solidFill>
                <a:srgbClr val="BF996E"/>
              </a:solidFill>
            </c:spPr>
          </c:dPt>
          <c:dPt>
            <c:idx val="692"/>
            <c:spPr>
              <a:solidFill>
                <a:srgbClr val="85C4D8"/>
              </a:solidFill>
            </c:spPr>
          </c:dPt>
          <c:dPt>
            <c:idx val="693"/>
            <c:spPr>
              <a:solidFill>
                <a:srgbClr val="906281"/>
              </a:solidFill>
            </c:spPr>
          </c:dPt>
          <c:dPt>
            <c:idx val="694"/>
            <c:spPr>
              <a:solidFill>
                <a:srgbClr val="FF1A3C"/>
              </a:solidFill>
            </c:spPr>
          </c:dPt>
          <c:dPt>
            <c:idx val="695"/>
            <c:spPr>
              <a:solidFill>
                <a:srgbClr val="35A275"/>
              </a:solidFill>
            </c:spPr>
          </c:dPt>
          <c:dPt>
            <c:idx val="696"/>
            <c:spPr>
              <a:solidFill>
                <a:srgbClr val="F31B73"/>
              </a:solidFill>
            </c:spPr>
          </c:dPt>
          <c:dPt>
            <c:idx val="697"/>
            <c:spPr>
              <a:solidFill>
                <a:srgbClr val="C5D1AB"/>
              </a:solidFill>
            </c:spPr>
          </c:dPt>
          <c:dPt>
            <c:idx val="698"/>
            <c:spPr>
              <a:solidFill>
                <a:srgbClr val="86D823"/>
              </a:solidFill>
            </c:spPr>
          </c:dPt>
          <c:dPt>
            <c:idx val="699"/>
            <c:spPr>
              <a:solidFill>
                <a:srgbClr val="CC7CB5"/>
              </a:solidFill>
            </c:spPr>
          </c:dPt>
          <c:dPt>
            <c:idx val="700"/>
            <c:spPr>
              <a:solidFill>
                <a:srgbClr val="FF4688"/>
              </a:solidFill>
            </c:spPr>
          </c:dPt>
          <c:dPt>
            <c:idx val="701"/>
            <c:spPr>
              <a:solidFill>
                <a:srgbClr val="6CB686"/>
              </a:solidFill>
            </c:spPr>
          </c:dPt>
          <c:dPt>
            <c:idx val="702"/>
            <c:spPr>
              <a:solidFill>
                <a:srgbClr val="2C3F76"/>
              </a:solidFill>
            </c:spPr>
          </c:dPt>
          <c:dPt>
            <c:idx val="703"/>
            <c:spPr>
              <a:solidFill>
                <a:srgbClr val="CB0AE7"/>
              </a:solidFill>
            </c:spPr>
          </c:dPt>
          <c:dPt>
            <c:idx val="704"/>
            <c:spPr>
              <a:solidFill>
                <a:srgbClr val="87EC6E"/>
              </a:solidFill>
            </c:spPr>
          </c:dPt>
          <c:dPt>
            <c:idx val="705"/>
            <c:spPr>
              <a:solidFill>
                <a:srgbClr val="0996E8"/>
              </a:solidFill>
            </c:spPr>
          </c:dPt>
          <c:dPt>
            <c:idx val="706"/>
            <c:spPr>
              <a:solidFill>
                <a:srgbClr val="FF72D4"/>
              </a:solidFill>
            </c:spPr>
          </c:dPt>
          <c:dPt>
            <c:idx val="707"/>
            <c:spPr>
              <a:solidFill>
                <a:srgbClr val="A3CA97"/>
              </a:solidFill>
            </c:spPr>
          </c:dPt>
          <c:dPt>
            <c:idx val="708"/>
            <c:spPr>
              <a:solidFill>
                <a:srgbClr val="656479"/>
              </a:solidFill>
            </c:spPr>
          </c:dPt>
          <c:dPt>
            <c:idx val="709"/>
            <c:spPr>
              <a:solidFill>
                <a:srgbClr val="D14224"/>
              </a:solidFill>
            </c:spPr>
          </c:dPt>
          <c:dPt>
            <c:idx val="710"/>
            <c:spPr>
              <a:solidFill>
                <a:srgbClr val="8900B9"/>
              </a:solidFill>
            </c:spPr>
          </c:dPt>
          <c:dPt>
            <c:idx val="711"/>
            <c:spPr>
              <a:solidFill>
                <a:srgbClr val="46B01C"/>
              </a:solidFill>
            </c:spPr>
          </c:dPt>
          <c:dPt>
            <c:idx val="712"/>
            <c:spPr>
              <a:solidFill>
                <a:srgbClr val="FF9D21"/>
              </a:solidFill>
            </c:spPr>
          </c:dPt>
          <c:dPt>
            <c:idx val="713"/>
            <c:spPr>
              <a:solidFill>
                <a:srgbClr val="DBDDA8"/>
              </a:solidFill>
            </c:spPr>
          </c:dPt>
          <c:dPt>
            <c:idx val="714"/>
            <c:spPr>
              <a:solidFill>
                <a:srgbClr val="9D887D"/>
              </a:solidFill>
            </c:spPr>
          </c:dPt>
          <c:dPt>
            <c:idx val="715"/>
            <c:spPr>
              <a:solidFill>
                <a:srgbClr val="D87B60"/>
              </a:solidFill>
            </c:spPr>
          </c:dPt>
          <c:dPt>
            <c:idx val="716"/>
            <c:spPr>
              <a:solidFill>
                <a:srgbClr val="8A1405"/>
              </a:solidFill>
            </c:spPr>
          </c:dPt>
          <c:dPt>
            <c:idx val="717"/>
            <c:spPr>
              <a:solidFill>
                <a:srgbClr val="83CA4F"/>
              </a:solidFill>
            </c:spPr>
          </c:dPt>
          <c:dPt>
            <c:idx val="718"/>
            <c:spPr>
              <a:solidFill>
                <a:srgbClr val="FFC96D"/>
              </a:solidFill>
            </c:spPr>
          </c:dPt>
          <c:dPt>
            <c:idx val="719"/>
            <c:spPr>
              <a:solidFill>
                <a:srgbClr val="13F1B9"/>
              </a:solidFill>
            </c:spPr>
          </c:dPt>
          <c:dPt>
            <c:idx val="720"/>
            <c:spPr>
              <a:solidFill>
                <a:srgbClr val="D6AD80"/>
              </a:solidFill>
            </c:spPr>
          </c:dPt>
          <c:dPt>
            <c:idx val="721"/>
            <c:spPr>
              <a:solidFill>
                <a:srgbClr val="DEB39D"/>
              </a:solidFill>
            </c:spPr>
          </c:dPt>
          <c:dPt>
            <c:idx val="722"/>
            <c:spPr>
              <a:solidFill>
                <a:srgbClr val="8B2850"/>
              </a:solidFill>
            </c:spPr>
          </c:dPt>
          <c:dPt>
            <c:idx val="723"/>
            <c:spPr>
              <a:solidFill>
                <a:srgbClr val="C0E483"/>
              </a:solidFill>
            </c:spPr>
          </c:dPt>
          <c:dPt>
            <c:idx val="724"/>
            <c:spPr>
              <a:solidFill>
                <a:srgbClr val="FFF5B9"/>
              </a:solidFill>
            </c:spPr>
          </c:dPt>
          <c:dPt>
            <c:idx val="725"/>
            <c:spPr>
              <a:solidFill>
                <a:srgbClr val="4A05CA"/>
              </a:solidFill>
            </c:spPr>
          </c:dPt>
          <c:dPt>
            <c:idx val="726"/>
            <c:spPr>
              <a:solidFill>
                <a:srgbClr val="0FD283"/>
              </a:solidFill>
            </c:spPr>
          </c:dPt>
          <c:dPt>
            <c:idx val="727"/>
            <c:spPr>
              <a:solidFill>
                <a:srgbClr val="E4EBDA"/>
              </a:solidFill>
            </c:spPr>
          </c:dPt>
          <c:dPt>
            <c:idx val="728"/>
            <c:spPr>
              <a:solidFill>
                <a:srgbClr val="8C3C9B"/>
              </a:solidFill>
            </c:spPr>
          </c:dPt>
          <c:dPt>
            <c:idx val="729"/>
            <c:spPr>
              <a:solidFill>
                <a:srgbClr val="FDFEB7"/>
              </a:solidFill>
            </c:spPr>
          </c:dPt>
          <c:dPt>
            <c:idx val="730"/>
            <c:spPr>
              <a:solidFill>
                <a:srgbClr val="FF2105"/>
              </a:solidFill>
            </c:spPr>
          </c:dPt>
          <c:dPt>
            <c:idx val="731"/>
            <c:spPr>
              <a:solidFill>
                <a:srgbClr val="8219DB"/>
              </a:solidFill>
            </c:spPr>
          </c:dPt>
          <c:dPt>
            <c:idx val="732"/>
            <c:spPr>
              <a:solidFill>
                <a:srgbClr val="47F687"/>
              </a:solidFill>
            </c:spPr>
          </c:dPt>
          <c:dPt>
            <c:idx val="733"/>
            <c:spPr>
              <a:solidFill>
                <a:srgbClr val="EB2416"/>
              </a:solidFill>
            </c:spPr>
          </c:dPt>
          <c:dPt>
            <c:idx val="734"/>
            <c:spPr>
              <a:solidFill>
                <a:srgbClr val="8D50E7"/>
              </a:solidFill>
            </c:spPr>
          </c:dPt>
          <c:dPt>
            <c:idx val="735"/>
            <c:spPr>
              <a:solidFill>
                <a:srgbClr val="3A18EA"/>
              </a:solidFill>
            </c:spPr>
          </c:dPt>
          <c:dPt>
            <c:idx val="736"/>
            <c:spPr>
              <a:solidFill>
                <a:srgbClr val="FF4D51"/>
              </a:solidFill>
            </c:spPr>
          </c:dPt>
          <c:dPt>
            <c:idx val="737"/>
            <c:spPr>
              <a:solidFill>
                <a:srgbClr val="B92DEC"/>
              </a:solidFill>
            </c:spPr>
          </c:dPt>
          <c:dPt>
            <c:idx val="738"/>
            <c:spPr>
              <a:solidFill>
                <a:srgbClr val="801B8A"/>
              </a:solidFill>
            </c:spPr>
          </c:dPt>
          <c:dPt>
            <c:idx val="739"/>
            <c:spPr>
              <a:solidFill>
                <a:srgbClr val="F15C53"/>
              </a:solidFill>
            </c:spPr>
          </c:dPt>
          <c:dPt>
            <c:idx val="740"/>
            <c:spPr>
              <a:solidFill>
                <a:srgbClr val="8F6432"/>
              </a:solidFill>
            </c:spPr>
          </c:dPt>
          <c:dPt>
            <c:idx val="741"/>
            <c:spPr>
              <a:solidFill>
                <a:srgbClr val="77321E"/>
              </a:solidFill>
            </c:spPr>
          </c:dPt>
          <c:dPt>
            <c:idx val="742"/>
            <c:spPr>
              <a:solidFill>
                <a:srgbClr val="FF789E"/>
              </a:solidFill>
            </c:spPr>
          </c:dPt>
          <c:dPt>
            <c:idx val="743"/>
            <c:spPr>
              <a:solidFill>
                <a:srgbClr val="F140FD"/>
              </a:solidFill>
            </c:spPr>
          </c:dPt>
          <c:dPt>
            <c:idx val="744"/>
            <c:spPr>
              <a:solidFill>
                <a:srgbClr val="B93F8D"/>
              </a:solidFill>
            </c:spPr>
          </c:dPt>
          <c:dPt>
            <c:idx val="745"/>
            <c:spPr>
              <a:solidFill>
                <a:srgbClr val="F7958F"/>
              </a:solidFill>
            </c:spPr>
          </c:dPt>
          <c:dPt>
            <c:idx val="746"/>
            <c:spPr>
              <a:solidFill>
                <a:srgbClr val="90787D"/>
              </a:solidFill>
            </c:spPr>
          </c:dPt>
          <c:dPt>
            <c:idx val="747"/>
            <c:spPr>
              <a:solidFill>
                <a:srgbClr val="B44C51"/>
              </a:solidFill>
            </c:spPr>
          </c:dPt>
          <c:dPt>
            <c:idx val="748"/>
            <c:spPr>
              <a:solidFill>
                <a:srgbClr val="FFA4EA"/>
              </a:solidFill>
            </c:spPr>
          </c:dPt>
          <c:dPt>
            <c:idx val="749"/>
            <c:spPr>
              <a:solidFill>
                <a:srgbClr val="28540E"/>
              </a:solidFill>
            </c:spPr>
          </c:dPt>
          <c:dPt>
            <c:idx val="750"/>
            <c:spPr>
              <a:solidFill>
                <a:srgbClr val="F26491"/>
              </a:solidFill>
            </c:spPr>
          </c:dPt>
          <c:dPt>
            <c:idx val="751"/>
            <c:spPr>
              <a:solidFill>
                <a:srgbClr val="FECDCC"/>
              </a:solidFill>
            </c:spPr>
          </c:dPt>
          <c:dPt>
            <c:idx val="752"/>
            <c:spPr>
              <a:solidFill>
                <a:srgbClr val="918DC9"/>
              </a:solidFill>
            </c:spPr>
          </c:dPt>
          <c:dPt>
            <c:idx val="753"/>
            <c:spPr>
              <a:solidFill>
                <a:srgbClr val="F16785"/>
              </a:solidFill>
            </c:spPr>
          </c:dPt>
          <c:dPt>
            <c:idx val="754"/>
            <c:spPr>
              <a:solidFill>
                <a:srgbClr val="FFD036"/>
              </a:solidFill>
            </c:spPr>
          </c:dPt>
          <c:dPt>
            <c:idx val="755"/>
            <c:spPr>
              <a:solidFill>
                <a:srgbClr val="606820"/>
              </a:solidFill>
            </c:spPr>
          </c:dPt>
          <c:dPt>
            <c:idx val="756"/>
            <c:spPr>
              <a:solidFill>
                <a:srgbClr val="2A8994"/>
              </a:solidFill>
            </c:spPr>
          </c:dPt>
          <c:dPt>
            <c:idx val="757"/>
            <c:spPr>
              <a:solidFill>
                <a:srgbClr val="040509"/>
              </a:solidFill>
            </c:spPr>
          </c:dPt>
          <c:dPt>
            <c:idx val="758"/>
            <c:spPr>
              <a:solidFill>
                <a:srgbClr val="92A114"/>
              </a:solidFill>
            </c:spPr>
          </c:dPt>
          <c:dPt>
            <c:idx val="759"/>
            <c:spPr>
              <a:solidFill>
                <a:srgbClr val="2D81B9"/>
              </a:solidFill>
            </c:spPr>
          </c:dPt>
          <c:dPt>
            <c:idx val="760"/>
            <c:spPr>
              <a:solidFill>
                <a:srgbClr val="FFFC82"/>
              </a:solidFill>
            </c:spPr>
          </c:dPt>
          <c:dPt>
            <c:idx val="761"/>
            <c:spPr>
              <a:solidFill>
                <a:srgbClr val="977C31"/>
              </a:solidFill>
            </c:spPr>
          </c:dPt>
          <c:dPt>
            <c:idx val="762"/>
            <c:spPr>
              <a:solidFill>
                <a:srgbClr val="63AD97"/>
              </a:solidFill>
            </c:spPr>
          </c:dPt>
          <c:dPt>
            <c:idx val="763"/>
            <c:spPr>
              <a:solidFill>
                <a:srgbClr val="0A3E45"/>
              </a:solidFill>
            </c:spPr>
          </c:dPt>
          <c:dPt>
            <c:idx val="764"/>
            <c:spPr>
              <a:solidFill>
                <a:srgbClr val="93B55F"/>
              </a:solidFill>
            </c:spPr>
          </c:dPt>
          <c:dPt>
            <c:idx val="765"/>
            <c:spPr>
              <a:solidFill>
                <a:srgbClr val="6A9BEC"/>
              </a:solidFill>
            </c:spPr>
          </c:dPt>
          <c:dPt>
            <c:idx val="766"/>
            <c:spPr>
              <a:solidFill>
                <a:srgbClr val="FF28CE"/>
              </a:solidFill>
            </c:spPr>
          </c:dPt>
          <c:dPt>
            <c:idx val="767"/>
            <c:spPr>
              <a:solidFill>
                <a:srgbClr val="CE9042"/>
              </a:solidFill>
            </c:spPr>
          </c:dPt>
          <c:dPt>
            <c:idx val="768"/>
            <c:spPr>
              <a:solidFill>
                <a:srgbClr val="9CD29A"/>
              </a:solidFill>
            </c:spPr>
          </c:dPt>
          <c:dPt>
            <c:idx val="769"/>
            <c:spPr>
              <a:solidFill>
                <a:srgbClr val="107682"/>
              </a:solidFill>
            </c:spPr>
          </c:dPt>
          <c:dPt>
            <c:idx val="770"/>
            <c:spPr>
              <a:solidFill>
                <a:srgbClr val="95C9AA"/>
              </a:solidFill>
            </c:spPr>
          </c:dPt>
          <c:dPt>
            <c:idx val="771"/>
            <c:spPr>
              <a:solidFill>
                <a:srgbClr val="A7B520"/>
              </a:solidFill>
            </c:spPr>
          </c:dPt>
          <c:dPt>
            <c:idx val="772"/>
            <c:spPr>
              <a:solidFill>
                <a:srgbClr val="FF531B"/>
              </a:solidFill>
            </c:spPr>
          </c:dPt>
          <c:dPt>
            <c:idx val="773"/>
            <c:spPr>
              <a:solidFill>
                <a:srgbClr val="06A353"/>
              </a:solidFill>
            </c:spPr>
          </c:dPt>
          <c:dPt>
            <c:idx val="774"/>
            <c:spPr>
              <a:solidFill>
                <a:srgbClr val="D4F69E"/>
              </a:solidFill>
            </c:spPr>
          </c:dPt>
          <c:dPt>
            <c:idx val="775"/>
            <c:spPr>
              <a:solidFill>
                <a:srgbClr val="17AFBE"/>
              </a:solidFill>
            </c:spPr>
          </c:dPt>
          <c:dPt>
            <c:idx val="776"/>
            <c:spPr>
              <a:solidFill>
                <a:srgbClr val="96DDF6"/>
              </a:solidFill>
            </c:spPr>
          </c:dPt>
          <c:dPt>
            <c:idx val="777"/>
            <c:spPr>
              <a:solidFill>
                <a:srgbClr val="E4CF53"/>
              </a:solidFill>
            </c:spPr>
          </c:dPt>
          <c:dPt>
            <c:idx val="778"/>
            <c:spPr>
              <a:solidFill>
                <a:srgbClr val="FF7F67"/>
              </a:solidFill>
            </c:spPr>
          </c:dPt>
          <c:dPt>
            <c:idx val="779"/>
            <c:spPr>
              <a:solidFill>
                <a:srgbClr val="3EB764"/>
              </a:solidFill>
            </c:spPr>
          </c:dPt>
          <c:dPt>
            <c:idx val="780"/>
            <c:spPr>
              <a:solidFill>
                <a:srgbClr val="0D1BA1"/>
              </a:solidFill>
            </c:spPr>
          </c:dPt>
          <c:dPt>
            <c:idx val="781"/>
            <c:spPr>
              <a:solidFill>
                <a:srgbClr val="1DE7FB"/>
              </a:solidFill>
            </c:spPr>
          </c:dPt>
          <c:dPt>
            <c:idx val="782"/>
            <c:spPr>
              <a:solidFill>
                <a:srgbClr val="97F141"/>
              </a:solidFill>
            </c:spPr>
          </c:dPt>
          <c:dPt>
            <c:idx val="783"/>
            <c:spPr>
              <a:solidFill>
                <a:srgbClr val="21E987"/>
              </a:solidFill>
            </c:spPr>
          </c:dPt>
          <c:dPt>
            <c:idx val="784"/>
            <c:spPr>
              <a:solidFill>
                <a:srgbClr val="FFABB3"/>
              </a:solidFill>
            </c:spPr>
          </c:dPt>
          <c:dPt>
            <c:idx val="785"/>
            <c:spPr>
              <a:solidFill>
                <a:srgbClr val="75CB75"/>
              </a:solidFill>
            </c:spPr>
          </c:dPt>
          <c:dPt>
            <c:idx val="786"/>
            <c:spPr>
              <a:solidFill>
                <a:srgbClr val="4640A4"/>
              </a:solidFill>
            </c:spPr>
          </c:dPt>
          <c:dPt>
            <c:idx val="787"/>
            <c:spPr>
              <a:solidFill>
                <a:srgbClr val="231F38"/>
              </a:solidFill>
            </c:spPr>
          </c:dPt>
          <c:dPt>
            <c:idx val="788"/>
            <c:spPr>
              <a:solidFill>
                <a:srgbClr val="98058C"/>
              </a:solidFill>
            </c:spPr>
          </c:dPt>
          <c:dPt>
            <c:idx val="789"/>
            <c:spPr>
              <a:solidFill>
                <a:srgbClr val="5E03BB"/>
              </a:solidFill>
            </c:spPr>
          </c:dPt>
          <c:dPt>
            <c:idx val="790"/>
            <c:spPr>
              <a:solidFill>
                <a:srgbClr val="FFD7FF"/>
              </a:solidFill>
            </c:spPr>
          </c:dPt>
          <c:dPt>
            <c:idx val="791"/>
            <c:spPr>
              <a:solidFill>
                <a:srgbClr val="ADDF86"/>
              </a:solidFill>
            </c:spPr>
          </c:dPt>
          <c:dPt>
            <c:idx val="792"/>
            <c:spPr>
              <a:solidFill>
                <a:srgbClr val="7E64A8"/>
              </a:solidFill>
            </c:spPr>
          </c:dPt>
          <c:dPt>
            <c:idx val="793"/>
            <c:spPr>
              <a:solidFill>
                <a:srgbClr val="2A5874"/>
              </a:solidFill>
            </c:spPr>
          </c:dPt>
          <c:dPt>
            <c:idx val="794"/>
            <c:spPr>
              <a:solidFill>
                <a:srgbClr val="9919D8"/>
              </a:solidFill>
            </c:spPr>
          </c:dPt>
          <c:dPt>
            <c:idx val="795"/>
            <c:spPr>
              <a:solidFill>
                <a:srgbClr val="9B1DEE"/>
              </a:solidFill>
            </c:spPr>
          </c:dPt>
          <c:dPt>
            <c:idx val="796"/>
            <c:spPr>
              <a:solidFill>
                <a:srgbClr val="FF034B"/>
              </a:solidFill>
            </c:spPr>
          </c:dPt>
          <c:dPt>
            <c:idx val="797"/>
            <c:spPr>
              <a:solidFill>
                <a:srgbClr val="E4F397"/>
              </a:solidFill>
            </c:spPr>
          </c:dPt>
          <c:dPt>
            <c:idx val="798"/>
            <c:spPr>
              <a:solidFill>
                <a:srgbClr val="B789AB"/>
              </a:solidFill>
            </c:spPr>
          </c:dPt>
          <c:dPt>
            <c:idx val="799"/>
            <c:spPr>
              <a:solidFill>
                <a:srgbClr val="3090B1"/>
              </a:solidFill>
            </c:spPr>
          </c:dPt>
          <c:dPt>
            <c:idx val="800"/>
            <c:spPr>
              <a:solidFill>
                <a:srgbClr val="9B2D23"/>
              </a:solidFill>
            </c:spPr>
          </c:dPt>
          <c:dPt>
            <c:idx val="801"/>
            <c:spPr>
              <a:solidFill>
                <a:srgbClr val="D83722"/>
              </a:solidFill>
            </c:spPr>
          </c:dPt>
          <c:dPt>
            <c:idx val="802"/>
            <c:spPr>
              <a:solidFill>
                <a:srgbClr val="FF2E98"/>
              </a:solidFill>
            </c:spPr>
          </c:dPt>
          <c:dPt>
            <c:idx val="803"/>
            <c:spPr>
              <a:solidFill>
                <a:srgbClr val="1C06A8"/>
              </a:solidFill>
            </c:spPr>
          </c:dPt>
          <c:dPt>
            <c:idx val="804"/>
            <c:spPr>
              <a:solidFill>
                <a:srgbClr val="F0ADAE"/>
              </a:solidFill>
            </c:spPr>
          </c:dPt>
          <c:dPt>
            <c:idx val="805"/>
            <c:spPr>
              <a:solidFill>
                <a:srgbClr val="36C9ED"/>
              </a:solidFill>
            </c:spPr>
          </c:dPt>
          <c:dPt>
            <c:idx val="806"/>
            <c:spPr>
              <a:solidFill>
                <a:srgbClr val="9C416E"/>
              </a:solidFill>
            </c:spPr>
          </c:dPt>
          <c:dPt>
            <c:idx val="807"/>
            <c:spPr>
              <a:solidFill>
                <a:srgbClr val="155155"/>
              </a:solidFill>
            </c:spPr>
          </c:dPt>
          <c:dPt>
            <c:idx val="808"/>
            <c:spPr>
              <a:solidFill>
                <a:srgbClr val="FF5AE4"/>
              </a:solidFill>
            </c:spPr>
          </c:dPt>
          <c:dPt>
            <c:idx val="809"/>
            <c:spPr>
              <a:solidFill>
                <a:srgbClr val="531AB9"/>
              </a:solidFill>
            </c:spPr>
          </c:dPt>
          <c:dPt>
            <c:idx val="810"/>
            <c:spPr>
              <a:solidFill>
                <a:srgbClr val="29D2B2"/>
              </a:solidFill>
            </c:spPr>
          </c:dPt>
          <c:dPt>
            <c:idx val="811"/>
            <c:spPr>
              <a:solidFill>
                <a:srgbClr val="3D012A"/>
              </a:solidFill>
            </c:spPr>
          </c:dPt>
          <c:dPt>
            <c:idx val="812"/>
            <c:spPr>
              <a:solidFill>
                <a:srgbClr val="9D56BA"/>
              </a:solidFill>
            </c:spPr>
          </c:dPt>
          <c:dPt>
            <c:idx val="813"/>
            <c:spPr>
              <a:solidFill>
                <a:srgbClr val="526C89"/>
              </a:solidFill>
            </c:spPr>
          </c:dPt>
          <c:dPt>
            <c:idx val="814"/>
            <c:spPr>
              <a:solidFill>
                <a:srgbClr val="FF8630"/>
              </a:solidFill>
            </c:spPr>
          </c:dPt>
          <c:dPt>
            <c:idx val="815"/>
            <c:spPr>
              <a:solidFill>
                <a:srgbClr val="8B2ECB"/>
              </a:solidFill>
            </c:spPr>
          </c:dPt>
          <c:dPt>
            <c:idx val="816"/>
            <c:spPr>
              <a:solidFill>
                <a:srgbClr val="61F7B5"/>
              </a:solidFill>
            </c:spPr>
          </c:dPt>
          <c:dPt>
            <c:idx val="817"/>
            <c:spPr>
              <a:solidFill>
                <a:srgbClr val="433967"/>
              </a:solidFill>
            </c:spPr>
          </c:dPt>
          <c:dPt>
            <c:idx val="818"/>
            <c:spPr>
              <a:solidFill>
                <a:srgbClr val="9E6A05"/>
              </a:solidFill>
            </c:spPr>
          </c:dPt>
          <c:dPt>
            <c:idx val="819"/>
            <c:spPr>
              <a:solidFill>
                <a:srgbClr val="8E86BD"/>
              </a:solidFill>
            </c:spPr>
          </c:dPt>
          <c:dPt>
            <c:idx val="820"/>
            <c:spPr>
              <a:solidFill>
                <a:srgbClr val="FFB27C"/>
              </a:solidFill>
            </c:spPr>
          </c:dPt>
          <c:dPt>
            <c:idx val="821"/>
            <c:spPr>
              <a:solidFill>
                <a:srgbClr val="C242DC"/>
              </a:solidFill>
            </c:spPr>
          </c:dPt>
          <c:dPt>
            <c:idx val="822"/>
            <c:spPr>
              <a:solidFill>
                <a:srgbClr val="9A1BB8"/>
              </a:solidFill>
            </c:spPr>
          </c:dPt>
          <c:dPt>
            <c:idx val="823"/>
            <c:spPr>
              <a:solidFill>
                <a:srgbClr val="4972A3"/>
              </a:solidFill>
            </c:spPr>
          </c:dPt>
          <c:dPt>
            <c:idx val="824"/>
            <c:spPr>
              <a:solidFill>
                <a:srgbClr val="9F7E50"/>
              </a:solidFill>
            </c:spPr>
          </c:dPt>
          <c:dPt>
            <c:idx val="825"/>
            <c:spPr>
              <a:solidFill>
                <a:srgbClr val="CBA0F0"/>
              </a:solidFill>
            </c:spPr>
          </c:dPt>
          <c:dPt>
            <c:idx val="826"/>
            <c:spPr>
              <a:solidFill>
                <a:srgbClr val="FFDEC8"/>
              </a:solidFill>
            </c:spPr>
          </c:dPt>
          <c:dPt>
            <c:idx val="827"/>
            <c:spPr>
              <a:solidFill>
                <a:srgbClr val="F956ED"/>
              </a:solidFill>
            </c:spPr>
          </c:dPt>
          <c:dPt>
            <c:idx val="828"/>
            <c:spPr>
              <a:solidFill>
                <a:srgbClr val="D340BB"/>
              </a:solidFill>
            </c:spPr>
          </c:dPt>
          <c:dPt>
            <c:idx val="829"/>
            <c:spPr>
              <a:solidFill>
                <a:srgbClr val="4FAAE0"/>
              </a:solidFill>
            </c:spPr>
          </c:dPt>
          <c:dPt>
            <c:idx val="830"/>
            <c:spPr>
              <a:solidFill>
                <a:srgbClr val="A1929B"/>
              </a:solidFill>
            </c:spPr>
          </c:dPt>
          <c:dPt>
            <c:idx val="831"/>
            <c:spPr>
              <a:solidFill>
                <a:srgbClr val="08BA24"/>
              </a:solidFill>
            </c:spPr>
          </c:dPt>
          <c:dPt>
            <c:idx val="832"/>
            <c:spPr>
              <a:solidFill>
                <a:srgbClr val="FF0915"/>
              </a:solidFill>
            </c:spPr>
          </c:dPt>
          <c:dPt>
            <c:idx val="833"/>
            <c:spPr>
              <a:solidFill>
                <a:srgbClr val="3169FE"/>
              </a:solidFill>
            </c:spPr>
          </c:dPt>
          <c:dPt>
            <c:idx val="834"/>
            <c:spPr>
              <a:solidFill>
                <a:srgbClr val="0B64BF"/>
              </a:solidFill>
            </c:spPr>
          </c:dPt>
          <c:dPt>
            <c:idx val="835"/>
            <c:spPr>
              <a:solidFill>
                <a:srgbClr val="56E31C"/>
              </a:solidFill>
            </c:spPr>
          </c:dPt>
          <c:dPt>
            <c:idx val="836"/>
            <c:spPr>
              <a:solidFill>
                <a:srgbClr val="A2A6E7"/>
              </a:solidFill>
            </c:spPr>
          </c:dPt>
          <c:dPt>
            <c:idx val="837"/>
            <c:spPr>
              <a:solidFill>
                <a:srgbClr val="45D457"/>
              </a:solidFill>
            </c:spPr>
          </c:dPt>
          <c:dPt>
            <c:idx val="838"/>
            <c:spPr>
              <a:solidFill>
                <a:srgbClr val="FF3561"/>
              </a:solidFill>
            </c:spPr>
          </c:dPt>
          <c:dPt>
            <c:idx val="839"/>
            <c:spPr>
              <a:solidFill>
                <a:srgbClr val="697D0F"/>
              </a:solidFill>
            </c:spPr>
          </c:dPt>
          <c:dPt>
            <c:idx val="840"/>
            <c:spPr>
              <a:solidFill>
                <a:srgbClr val="4489C2"/>
              </a:solidFill>
            </c:spPr>
          </c:dPt>
          <c:dPt>
            <c:idx val="841"/>
            <c:spPr>
              <a:solidFill>
                <a:srgbClr val="5C1B59"/>
              </a:solidFill>
            </c:spPr>
          </c:dPt>
          <c:dPt>
            <c:idx val="842"/>
            <c:spPr>
              <a:solidFill>
                <a:srgbClr val="A3BA32"/>
              </a:solidFill>
            </c:spPr>
          </c:dPt>
          <c:dPt>
            <c:idx val="843"/>
            <c:spPr>
              <a:solidFill>
                <a:srgbClr val="82EE8B"/>
              </a:solidFill>
            </c:spPr>
          </c:dPt>
          <c:dPt>
            <c:idx val="844"/>
            <c:spPr>
              <a:solidFill>
                <a:srgbClr val="FF61AD"/>
              </a:solidFill>
            </c:spPr>
          </c:dPt>
          <c:dPt>
            <c:idx val="845"/>
            <c:spPr>
              <a:solidFill>
                <a:srgbClr val="A09120"/>
              </a:solidFill>
            </c:spPr>
          </c:dPt>
          <c:dPt>
            <c:idx val="846"/>
            <c:spPr>
              <a:solidFill>
                <a:srgbClr val="7DAEC5"/>
              </a:solidFill>
            </c:spPr>
          </c:dPt>
          <c:dPt>
            <c:idx val="847"/>
            <c:spPr>
              <a:solidFill>
                <a:srgbClr val="625396"/>
              </a:solidFill>
            </c:spPr>
          </c:dPt>
          <c:dPt>
            <c:idx val="848"/>
            <c:spPr>
              <a:solidFill>
                <a:srgbClr val="A4CE7D"/>
              </a:solidFill>
            </c:spPr>
          </c:dPt>
          <c:dPt>
            <c:idx val="849"/>
            <c:spPr>
              <a:solidFill>
                <a:srgbClr val="BF08BF"/>
              </a:solidFill>
            </c:spPr>
          </c:dPt>
          <c:dPt>
            <c:idx val="850"/>
            <c:spPr>
              <a:solidFill>
                <a:srgbClr val="FF8DF9"/>
              </a:solidFill>
            </c:spPr>
          </c:dPt>
          <c:dPt>
            <c:idx val="851"/>
            <c:spPr>
              <a:solidFill>
                <a:srgbClr val="D8A531"/>
              </a:solidFill>
            </c:spPr>
          </c:dPt>
          <c:dPt>
            <c:idx val="852"/>
            <c:spPr>
              <a:solidFill>
                <a:srgbClr val="B5D2C9"/>
              </a:solidFill>
            </c:spPr>
          </c:dPt>
          <c:dPt>
            <c:idx val="853"/>
            <c:spPr>
              <a:solidFill>
                <a:srgbClr val="698CD2"/>
              </a:solidFill>
            </c:spPr>
          </c:dPt>
          <c:dPt>
            <c:idx val="854"/>
            <c:spPr>
              <a:solidFill>
                <a:srgbClr val="A5E2C9"/>
              </a:solidFill>
            </c:spPr>
          </c:dPt>
          <c:dPt>
            <c:idx val="855"/>
            <c:spPr>
              <a:solidFill>
                <a:srgbClr val="FC22F2"/>
              </a:solidFill>
            </c:spPr>
          </c:dPt>
          <c:dPt>
            <c:idx val="856"/>
            <c:spPr>
              <a:solidFill>
                <a:srgbClr val="FFB945"/>
              </a:solidFill>
            </c:spPr>
          </c:dPt>
          <c:dPt>
            <c:idx val="857"/>
            <c:spPr>
              <a:solidFill>
                <a:srgbClr val="0FB942"/>
              </a:solidFill>
            </c:spPr>
          </c:dPt>
          <c:dPt>
            <c:idx val="858"/>
            <c:spPr>
              <a:solidFill>
                <a:srgbClr val="EEF7CC"/>
              </a:solidFill>
            </c:spPr>
          </c:dPt>
          <c:dPt>
            <c:idx val="859"/>
            <c:spPr>
              <a:solidFill>
                <a:srgbClr val="6FC40F"/>
              </a:solidFill>
            </c:spPr>
          </c:dPt>
          <c:dPt>
            <c:idx val="860"/>
            <c:spPr>
              <a:solidFill>
                <a:srgbClr val="A7F614"/>
              </a:solidFill>
            </c:spPr>
          </c:dPt>
          <c:dPt>
            <c:idx val="861"/>
            <c:spPr>
              <a:solidFill>
                <a:srgbClr val="393C26"/>
              </a:solidFill>
            </c:spPr>
          </c:dPt>
          <c:dPt>
            <c:idx val="862"/>
            <c:spPr>
              <a:solidFill>
                <a:srgbClr val="FFE492"/>
              </a:solidFill>
            </c:spPr>
          </c:dPt>
          <c:dPt>
            <c:idx val="863"/>
            <c:spPr>
              <a:solidFill>
                <a:srgbClr val="47CC53"/>
              </a:solidFill>
            </c:spPr>
          </c:dPt>
          <c:dPt>
            <c:idx val="864"/>
            <c:spPr>
              <a:solidFill>
                <a:srgbClr val="271BCF"/>
              </a:solidFill>
            </c:spPr>
          </c:dPt>
          <c:dPt>
            <c:idx val="865"/>
            <c:spPr>
              <a:solidFill>
                <a:srgbClr val="75FD4B"/>
              </a:solidFill>
            </c:spPr>
          </c:dPt>
          <c:dPt>
            <c:idx val="866"/>
            <c:spPr>
              <a:solidFill>
                <a:srgbClr val="A80A5F"/>
              </a:solidFill>
            </c:spPr>
          </c:dPt>
          <c:dPt>
            <c:idx val="867"/>
            <c:spPr>
              <a:solidFill>
                <a:srgbClr val="765659"/>
              </a:solidFill>
            </c:spPr>
          </c:dPt>
          <c:dPt>
            <c:idx val="868"/>
            <c:spPr>
              <a:solidFill>
                <a:srgbClr val="FF10DE"/>
              </a:solidFill>
            </c:spPr>
          </c:dPt>
          <c:dPt>
            <c:idx val="869"/>
            <c:spPr>
              <a:solidFill>
                <a:srgbClr val="7EE064"/>
              </a:solidFill>
            </c:spPr>
          </c:dPt>
          <c:dPt>
            <c:idx val="870"/>
            <c:spPr>
              <a:solidFill>
                <a:srgbClr val="6040D3"/>
              </a:solidFill>
            </c:spPr>
          </c:dPt>
          <c:dPt>
            <c:idx val="871"/>
            <c:spPr>
              <a:solidFill>
                <a:srgbClr val="7C3588"/>
              </a:solidFill>
            </c:spPr>
          </c:dPt>
          <c:dPt>
            <c:idx val="872"/>
            <c:spPr>
              <a:solidFill>
                <a:srgbClr val="A91FAB"/>
              </a:solidFill>
            </c:spPr>
          </c:dPt>
          <c:dPt>
            <c:idx val="873"/>
            <c:spPr>
              <a:solidFill>
                <a:srgbClr val="B3718D"/>
              </a:solidFill>
            </c:spPr>
          </c:dPt>
          <c:dPt>
            <c:idx val="874"/>
            <c:spPr>
              <a:solidFill>
                <a:srgbClr val="FF3C2A"/>
              </a:solidFill>
            </c:spPr>
          </c:dPt>
          <c:dPt>
            <c:idx val="875"/>
            <c:spPr>
              <a:solidFill>
                <a:srgbClr val="B6F476"/>
              </a:solidFill>
            </c:spPr>
          </c:dPt>
          <c:dPt>
            <c:idx val="876"/>
            <c:spPr>
              <a:solidFill>
                <a:srgbClr val="9865D6"/>
              </a:solidFill>
            </c:spPr>
          </c:dPt>
          <c:dPt>
            <c:idx val="877"/>
            <c:spPr>
              <a:solidFill>
                <a:srgbClr val="826DC5"/>
              </a:solidFill>
            </c:spPr>
          </c:dPt>
          <c:dPt>
            <c:idx val="878"/>
            <c:spPr>
              <a:solidFill>
                <a:srgbClr val="AA33F6"/>
              </a:solidFill>
            </c:spPr>
          </c:dPt>
          <c:dPt>
            <c:idx val="879"/>
            <c:spPr>
              <a:solidFill>
                <a:srgbClr val="EF8BC1"/>
              </a:solidFill>
            </c:spPr>
          </c:dPt>
          <c:dPt>
            <c:idx val="880"/>
            <c:spPr>
              <a:solidFill>
                <a:srgbClr val="FF6876"/>
              </a:solidFill>
            </c:spPr>
          </c:dPt>
          <c:dPt>
            <c:idx val="881"/>
            <c:spPr>
              <a:solidFill>
                <a:srgbClr val="ED0887"/>
              </a:solidFill>
            </c:spPr>
          </c:dPt>
          <c:dPt>
            <c:idx val="882"/>
            <c:spPr>
              <a:solidFill>
                <a:srgbClr val="D189D9"/>
              </a:solidFill>
            </c:spPr>
          </c:dPt>
          <c:dPt>
            <c:idx val="883"/>
            <c:spPr>
              <a:solidFill>
                <a:srgbClr val="88A601"/>
              </a:solidFill>
            </c:spPr>
          </c:dPt>
          <c:dPt>
            <c:idx val="884"/>
            <c:spPr>
              <a:solidFill>
                <a:srgbClr val="AB4741"/>
              </a:solidFill>
            </c:spPr>
          </c:dPt>
          <c:dPt>
            <c:idx val="885"/>
            <c:spPr>
              <a:solidFill>
                <a:srgbClr val="2CA5F4"/>
              </a:solidFill>
            </c:spPr>
          </c:dPt>
          <c:dPt>
            <c:idx val="886"/>
            <c:spPr>
              <a:solidFill>
                <a:srgbClr val="FF94C2"/>
              </a:solidFill>
            </c:spPr>
          </c:dPt>
          <c:dPt>
            <c:idx val="887"/>
            <c:spPr>
              <a:solidFill>
                <a:srgbClr val="251C98"/>
              </a:solidFill>
            </c:spPr>
          </c:dPt>
          <c:dPt>
            <c:idx val="888"/>
            <c:spPr>
              <a:solidFill>
                <a:srgbClr val="0AAEDC"/>
              </a:solidFill>
            </c:spPr>
          </c:dPt>
          <c:dPt>
            <c:idx val="889"/>
            <c:spPr>
              <a:solidFill>
                <a:srgbClr val="8EDE3E"/>
              </a:solidFill>
            </c:spPr>
          </c:dPt>
          <c:dPt>
            <c:idx val="890"/>
            <c:spPr>
              <a:solidFill>
                <a:srgbClr val="AD5B8C"/>
              </a:solidFill>
            </c:spPr>
          </c:dPt>
          <c:dPt>
            <c:idx val="891"/>
            <c:spPr>
              <a:solidFill>
                <a:srgbClr val="69BF28"/>
              </a:solidFill>
            </c:spPr>
          </c:dPt>
          <c:dPt>
            <c:idx val="892"/>
            <c:spPr>
              <a:solidFill>
                <a:srgbClr val="FFBF0F"/>
              </a:solidFill>
            </c:spPr>
          </c:dPt>
          <c:dPt>
            <c:idx val="893"/>
            <c:spPr>
              <a:solidFill>
                <a:srgbClr val="5C2FA9"/>
              </a:solidFill>
            </c:spPr>
          </c:dPt>
          <c:dPt>
            <c:idx val="894"/>
            <c:spPr>
              <a:solidFill>
                <a:srgbClr val="42D2E0"/>
              </a:solidFill>
            </c:spPr>
          </c:dPt>
          <c:dPt>
            <c:idx val="895"/>
            <c:spPr>
              <a:solidFill>
                <a:srgbClr val="95177A"/>
              </a:solidFill>
            </c:spPr>
          </c:dPt>
          <c:dPt>
            <c:idx val="896"/>
            <c:spPr>
              <a:solidFill>
                <a:srgbClr val="AE6FD8"/>
              </a:solidFill>
            </c:spPr>
          </c:dPt>
          <c:dPt>
            <c:idx val="897"/>
            <c:spPr>
              <a:solidFill>
                <a:srgbClr val="A6D95B"/>
              </a:solidFill>
            </c:spPr>
          </c:dPt>
          <c:dPt>
            <c:idx val="898"/>
            <c:spPr>
              <a:solidFill>
                <a:srgbClr val="FFEB5B"/>
              </a:solidFill>
            </c:spPr>
          </c:dPt>
          <c:dPt>
            <c:idx val="899"/>
            <c:spPr>
              <a:solidFill>
                <a:srgbClr val="9443BA"/>
              </a:solidFill>
            </c:spPr>
          </c:dPt>
          <c:dPt>
            <c:idx val="900"/>
            <c:spPr>
              <a:solidFill>
                <a:srgbClr val="7BF7E3"/>
              </a:solidFill>
            </c:spPr>
          </c:dPt>
          <c:dPt>
            <c:idx val="901"/>
            <c:spPr>
              <a:solidFill>
                <a:srgbClr val="9B4FB7"/>
              </a:solidFill>
            </c:spPr>
          </c:dPt>
          <c:dPt>
            <c:idx val="902"/>
            <c:spPr>
              <a:solidFill>
                <a:srgbClr val="AF8323"/>
              </a:solidFill>
            </c:spPr>
          </c:dPt>
          <c:dPt>
            <c:idx val="903"/>
            <c:spPr>
              <a:solidFill>
                <a:srgbClr val="E3F38F"/>
              </a:solidFill>
            </c:spPr>
          </c:dPt>
          <c:dPt>
            <c:idx val="904"/>
            <c:spPr>
              <a:solidFill>
                <a:srgbClr val="FF17A7"/>
              </a:solidFill>
            </c:spPr>
          </c:dPt>
          <c:dPt>
            <c:idx val="905"/>
            <c:spPr>
              <a:solidFill>
                <a:srgbClr val="CB57CB"/>
              </a:solidFill>
            </c:spPr>
          </c:dPt>
          <c:dPt>
            <c:idx val="906"/>
            <c:spPr>
              <a:solidFill>
                <a:srgbClr val="B41CE6"/>
              </a:solidFill>
            </c:spPr>
          </c:dPt>
          <c:dPt>
            <c:idx val="907"/>
            <c:spPr>
              <a:solidFill>
                <a:srgbClr val="A187F4"/>
              </a:solidFill>
            </c:spPr>
          </c:dPt>
          <c:dPt>
            <c:idx val="908"/>
            <c:spPr>
              <a:solidFill>
                <a:srgbClr val="B0976E"/>
              </a:solidFill>
            </c:spPr>
          </c:dPt>
          <c:dPt>
            <c:idx val="909"/>
            <c:spPr>
              <a:solidFill>
                <a:srgbClr val="200DC3"/>
              </a:solidFill>
            </c:spPr>
          </c:dPt>
          <c:dPt>
            <c:idx val="910"/>
            <c:spPr>
              <a:solidFill>
                <a:srgbClr val="FF43F3"/>
              </a:solidFill>
            </c:spPr>
          </c:dPt>
          <c:dPt>
            <c:idx val="911"/>
            <c:spPr>
              <a:solidFill>
                <a:srgbClr val="036BDC"/>
              </a:solidFill>
            </c:spPr>
          </c:dPt>
          <c:dPt>
            <c:idx val="912"/>
            <c:spPr>
              <a:solidFill>
                <a:srgbClr val="EC40EA"/>
              </a:solidFill>
            </c:spPr>
          </c:dPt>
          <c:dPt>
            <c:idx val="913"/>
            <c:spPr>
              <a:solidFill>
                <a:srgbClr val="A8C030"/>
              </a:solidFill>
            </c:spPr>
          </c:dPt>
          <c:dPt>
            <c:idx val="914"/>
            <c:spPr>
              <a:solidFill>
                <a:srgbClr val="B1ABBA"/>
              </a:solidFill>
            </c:spPr>
          </c:dPt>
          <c:dPt>
            <c:idx val="915"/>
            <c:spPr>
              <a:solidFill>
                <a:srgbClr val="5D27F6"/>
              </a:solidFill>
            </c:spPr>
          </c:dPt>
          <c:dPt>
            <c:idx val="916"/>
            <c:spPr>
              <a:solidFill>
                <a:srgbClr val="FF6F3F"/>
              </a:solidFill>
            </c:spPr>
          </c:dPt>
          <c:dPt>
            <c:idx val="917"/>
            <c:spPr>
              <a:solidFill>
                <a:srgbClr val="3A7FED"/>
              </a:solidFill>
            </c:spPr>
          </c:dPt>
          <c:dPt>
            <c:idx val="918"/>
            <c:spPr>
              <a:solidFill>
                <a:srgbClr val="2565ED"/>
              </a:solidFill>
            </c:spPr>
          </c:dPt>
          <c:dPt>
            <c:idx val="919"/>
            <c:spPr>
              <a:solidFill>
                <a:srgbClr val="AEF86D"/>
              </a:solidFill>
            </c:spPr>
          </c:dPt>
          <c:dPt>
            <c:idx val="920"/>
            <c:spPr>
              <a:solidFill>
                <a:srgbClr val="B3BF05"/>
              </a:solidFill>
            </c:spPr>
          </c:dPt>
          <c:dPt>
            <c:idx val="921"/>
            <c:spPr>
              <a:solidFill>
                <a:srgbClr val="9A412A"/>
              </a:solidFill>
            </c:spPr>
          </c:dPt>
          <c:dPt>
            <c:idx val="922"/>
            <c:spPr>
              <a:solidFill>
                <a:srgbClr val="FF9A8C"/>
              </a:solidFill>
            </c:spPr>
          </c:dPt>
          <c:dPt>
            <c:idx val="923"/>
            <c:spPr>
              <a:solidFill>
                <a:srgbClr val="7292FE"/>
              </a:solidFill>
            </c:spPr>
          </c:dPt>
          <c:dPt>
            <c:idx val="924"/>
            <c:spPr>
              <a:solidFill>
                <a:srgbClr val="5E89F0"/>
              </a:solidFill>
            </c:spPr>
          </c:dPt>
          <c:dPt>
            <c:idx val="925"/>
            <c:spPr>
              <a:solidFill>
                <a:srgbClr val="B431A9"/>
              </a:solidFill>
            </c:spPr>
          </c:dPt>
          <c:dPt>
            <c:idx val="926"/>
            <c:spPr>
              <a:solidFill>
                <a:srgbClr val="B4D350"/>
              </a:solidFill>
            </c:spPr>
          </c:dPt>
          <c:dPt>
            <c:idx val="927"/>
            <c:spPr>
              <a:solidFill>
                <a:srgbClr val="D75B5D"/>
              </a:solidFill>
            </c:spPr>
          </c:dPt>
          <c:dPt>
            <c:idx val="928"/>
            <c:spPr>
              <a:solidFill>
                <a:srgbClr val="FFC6D8"/>
              </a:solidFill>
            </c:spPr>
          </c:dPt>
          <c:dPt>
            <c:idx val="929"/>
            <c:spPr>
              <a:solidFill>
                <a:srgbClr val="A9A60F"/>
              </a:solidFill>
            </c:spPr>
          </c:dPt>
          <c:dPt>
            <c:idx val="930"/>
            <c:spPr>
              <a:solidFill>
                <a:srgbClr val="97AEF4"/>
              </a:solidFill>
            </c:spPr>
          </c:dPt>
          <c:dPt>
            <c:idx val="931"/>
            <c:spPr>
              <a:solidFill>
                <a:srgbClr val="BB69E6"/>
              </a:solidFill>
            </c:spPr>
          </c:dPt>
          <c:dPt>
            <c:idx val="932"/>
            <c:spPr>
              <a:solidFill>
                <a:srgbClr val="B5E89C"/>
              </a:solidFill>
            </c:spPr>
          </c:dPt>
          <c:dPt>
            <c:idx val="933"/>
            <c:spPr>
              <a:solidFill>
                <a:srgbClr val="147691"/>
              </a:solidFill>
            </c:spPr>
          </c:dPt>
          <c:dPt>
            <c:idx val="934"/>
            <c:spPr>
              <a:solidFill>
                <a:srgbClr val="FFF224"/>
              </a:solidFill>
            </c:spPr>
          </c:dPt>
          <c:dPt>
            <c:idx val="935"/>
            <c:spPr>
              <a:solidFill>
                <a:srgbClr val="E1BA21"/>
              </a:solidFill>
            </c:spPr>
          </c:dPt>
          <c:dPt>
            <c:idx val="936"/>
            <c:spPr>
              <a:solidFill>
                <a:srgbClr val="CFD3F7"/>
              </a:solidFill>
            </c:spPr>
          </c:dPt>
          <c:dPt>
            <c:idx val="937"/>
            <c:spPr>
              <a:solidFill>
                <a:srgbClr val="C1A123"/>
              </a:solidFill>
            </c:spPr>
          </c:dPt>
          <c:dPt>
            <c:idx val="938"/>
            <c:spPr>
              <a:solidFill>
                <a:srgbClr val="B6FCE7"/>
              </a:solidFill>
            </c:spPr>
          </c:dPt>
          <c:dPt>
            <c:idx val="939"/>
            <c:spPr>
              <a:solidFill>
                <a:srgbClr val="5090C5"/>
              </a:solidFill>
            </c:spPr>
          </c:dPt>
          <c:dPt>
            <c:idx val="940"/>
            <c:spPr>
              <a:solidFill>
                <a:srgbClr val="FF1E70"/>
              </a:solidFill>
            </c:spPr>
          </c:dPt>
          <c:dPt>
            <c:idx val="941"/>
            <c:spPr>
              <a:solidFill>
                <a:srgbClr val="18CE32"/>
              </a:solidFill>
            </c:spPr>
          </c:dPt>
          <c:dPt>
            <c:idx val="942"/>
            <c:spPr>
              <a:solidFill>
                <a:srgbClr val="08F7FA"/>
              </a:solidFill>
            </c:spPr>
          </c:dPt>
          <c:dPt>
            <c:idx val="943"/>
            <c:spPr>
              <a:solidFill>
                <a:srgbClr val="C7DA5F"/>
              </a:solidFill>
            </c:spPr>
          </c:dPt>
          <c:dPt>
            <c:idx val="944"/>
            <c:spPr>
              <a:solidFill>
                <a:srgbClr val="B71032"/>
              </a:solidFill>
            </c:spPr>
          </c:dPt>
          <c:dPt>
            <c:idx val="945"/>
            <c:spPr>
              <a:solidFill>
                <a:srgbClr val="8DAAF8"/>
              </a:solidFill>
            </c:spPr>
          </c:dPt>
          <c:dPt>
            <c:idx val="946"/>
            <c:spPr>
              <a:solidFill>
                <a:srgbClr val="FF4ABC"/>
              </a:solidFill>
            </c:spPr>
          </c:dPt>
          <c:dPt>
            <c:idx val="947"/>
            <c:spPr>
              <a:solidFill>
                <a:srgbClr val="50E243"/>
              </a:solidFill>
            </c:spPr>
          </c:dPt>
          <c:dPt>
            <c:idx val="948"/>
            <c:spPr>
              <a:solidFill>
                <a:srgbClr val="411CFD"/>
              </a:solidFill>
            </c:spPr>
          </c:dPt>
          <c:dPt>
            <c:idx val="949"/>
            <c:spPr>
              <a:solidFill>
                <a:srgbClr val="CD129C"/>
              </a:solidFill>
            </c:spPr>
          </c:dPt>
          <c:dPt>
            <c:idx val="950"/>
            <c:spPr>
              <a:solidFill>
                <a:srgbClr val="B9247D"/>
              </a:solidFill>
            </c:spPr>
          </c:dPt>
          <c:dPt>
            <c:idx val="951"/>
            <c:spPr>
              <a:solidFill>
                <a:srgbClr val="CAC42C"/>
              </a:solidFill>
            </c:spPr>
          </c:dPt>
          <c:dPt>
            <c:idx val="952"/>
            <c:spPr>
              <a:solidFill>
                <a:srgbClr val="FF7509"/>
              </a:solidFill>
            </c:spPr>
          </c:dPt>
          <c:dPt>
            <c:idx val="953"/>
            <c:spPr>
              <a:solidFill>
                <a:srgbClr val="87F554"/>
              </a:solidFill>
            </c:spPr>
          </c:dPt>
          <c:dPt>
            <c:idx val="954"/>
            <c:spPr>
              <a:solidFill>
                <a:srgbClr val="794001"/>
              </a:solidFill>
            </c:spPr>
          </c:dPt>
          <c:dPt>
            <c:idx val="955"/>
            <c:spPr>
              <a:solidFill>
                <a:srgbClr val="D44BD8"/>
              </a:solidFill>
            </c:spPr>
          </c:dPt>
          <c:dPt>
            <c:idx val="956"/>
            <c:spPr>
              <a:solidFill>
                <a:srgbClr val="BA38C9"/>
              </a:solidFill>
            </c:spPr>
          </c:dPt>
          <c:dPt>
            <c:idx val="957"/>
            <c:spPr>
              <a:solidFill>
                <a:srgbClr val="07DE5F"/>
              </a:solidFill>
            </c:spPr>
          </c:dPt>
          <c:dPt>
            <c:idx val="958"/>
            <c:spPr>
              <a:solidFill>
                <a:srgbClr val="FFA155"/>
              </a:solidFill>
            </c:spPr>
          </c:dPt>
          <c:dPt>
            <c:idx val="959"/>
            <c:spPr>
              <a:solidFill>
                <a:srgbClr val="BF0965"/>
              </a:solidFill>
            </c:spPr>
          </c:dPt>
          <c:dPt>
            <c:idx val="960"/>
            <c:spPr>
              <a:solidFill>
                <a:srgbClr val="B26504"/>
              </a:solidFill>
            </c:spPr>
          </c:dPt>
          <c:dPt>
            <c:idx val="961"/>
            <c:spPr>
              <a:solidFill>
                <a:srgbClr val="DA8315"/>
              </a:solidFill>
            </c:spPr>
          </c:dPt>
          <c:dPt>
            <c:idx val="962"/>
            <c:spPr>
              <a:solidFill>
                <a:srgbClr val="BB4C14"/>
              </a:solidFill>
            </c:spPr>
          </c:dPt>
          <c:dPt>
            <c:idx val="963"/>
            <c:spPr>
              <a:solidFill>
                <a:srgbClr val="44F893"/>
              </a:solidFill>
            </c:spPr>
          </c:dPt>
          <c:dPt>
            <c:idx val="964"/>
            <c:spPr>
              <a:solidFill>
                <a:srgbClr val="FFCDA1"/>
              </a:solidFill>
            </c:spPr>
          </c:dPt>
          <c:dPt>
            <c:idx val="965"/>
            <c:spPr>
              <a:solidFill>
                <a:srgbClr val="F61D76"/>
              </a:solidFill>
            </c:spPr>
          </c:dPt>
          <c:dPt>
            <c:idx val="966"/>
            <c:spPr>
              <a:solidFill>
                <a:srgbClr val="EB8A07"/>
              </a:solidFill>
            </c:spPr>
          </c:dPt>
          <c:dPt>
            <c:idx val="967"/>
            <c:spPr>
              <a:solidFill>
                <a:srgbClr val="E0BB52"/>
              </a:solidFill>
            </c:spPr>
          </c:dPt>
          <c:dPt>
            <c:idx val="968"/>
            <c:spPr>
              <a:solidFill>
                <a:srgbClr val="BC605F"/>
              </a:solidFill>
            </c:spPr>
          </c:dPt>
          <c:dPt>
            <c:idx val="969"/>
            <c:spPr>
              <a:solidFill>
                <a:srgbClr val="8112C7"/>
              </a:solidFill>
            </c:spPr>
          </c:dPt>
          <c:dPt>
            <c:idx val="970"/>
            <c:spPr>
              <a:solidFill>
                <a:srgbClr val="FFF9ED"/>
              </a:solidFill>
            </c:spPr>
          </c:dPt>
          <c:dPt>
            <c:idx val="971"/>
            <c:spPr>
              <a:solidFill>
                <a:srgbClr val="2E3187"/>
              </a:solidFill>
            </c:spPr>
          </c:dPt>
          <c:dPt>
            <c:idx val="972"/>
            <c:spPr>
              <a:solidFill>
                <a:srgbClr val="23AE0B"/>
              </a:solidFill>
            </c:spPr>
          </c:dPt>
          <c:dPt>
            <c:idx val="973"/>
            <c:spPr>
              <a:solidFill>
                <a:srgbClr val="E7F48E"/>
              </a:solidFill>
            </c:spPr>
          </c:dPt>
          <c:dPt>
            <c:idx val="974"/>
            <c:spPr>
              <a:solidFill>
                <a:srgbClr val="BD74AB"/>
              </a:solidFill>
            </c:spPr>
          </c:dPt>
          <c:dPt>
            <c:idx val="975"/>
            <c:spPr>
              <a:solidFill>
                <a:srgbClr val="BE2CFA"/>
              </a:solidFill>
            </c:spPr>
          </c:dPt>
          <c:dPt>
            <c:idx val="976"/>
            <c:spPr>
              <a:solidFill>
                <a:srgbClr val="FF2539"/>
              </a:solidFill>
            </c:spPr>
          </c:dPt>
          <c:dPt>
            <c:idx val="977"/>
            <c:spPr>
              <a:solidFill>
                <a:srgbClr val="654598"/>
              </a:solidFill>
            </c:spPr>
          </c:dPt>
          <c:dPt>
            <c:idx val="978"/>
            <c:spPr>
              <a:solidFill>
                <a:srgbClr val="5CD30E"/>
              </a:solidFill>
            </c:spPr>
          </c:dPt>
          <c:dPt>
            <c:idx val="979"/>
            <c:spPr>
              <a:solidFill>
                <a:srgbClr val="ED2CCB"/>
              </a:solidFill>
            </c:spPr>
          </c:dPt>
          <c:dPt>
            <c:idx val="980"/>
            <c:spPr>
              <a:solidFill>
                <a:srgbClr val="BF88F6"/>
              </a:solidFill>
            </c:spPr>
          </c:dPt>
          <c:dPt>
            <c:idx val="981"/>
            <c:spPr>
              <a:solidFill>
                <a:srgbClr val="FB462E"/>
              </a:solidFill>
            </c:spPr>
          </c:dPt>
          <c:dPt>
            <c:idx val="982"/>
            <c:spPr>
              <a:solidFill>
                <a:srgbClr val="FF5086"/>
              </a:solidFill>
            </c:spPr>
          </c:dPt>
          <c:dPt>
            <c:idx val="983"/>
            <c:spPr>
              <a:solidFill>
                <a:srgbClr val="9D58A9"/>
              </a:solidFill>
            </c:spPr>
          </c:dPt>
          <c:dPt>
            <c:idx val="984"/>
            <c:spPr>
              <a:solidFill>
                <a:srgbClr val="95F711"/>
              </a:solidFill>
            </c:spPr>
          </c:dPt>
          <c:dPt>
            <c:idx val="985"/>
            <c:spPr>
              <a:solidFill>
                <a:srgbClr val="F36507"/>
              </a:solidFill>
            </c:spPr>
          </c:dPt>
          <c:dPt>
            <c:idx val="986"/>
            <c:spPr>
              <a:solidFill>
                <a:srgbClr val="C09C41"/>
              </a:solidFill>
            </c:spPr>
          </c:dPt>
          <c:dPt>
            <c:idx val="987"/>
            <c:spPr>
              <a:solidFill>
                <a:srgbClr val="386061"/>
              </a:solidFill>
            </c:spPr>
          </c:dPt>
          <c:dPt>
            <c:idx val="988"/>
            <c:spPr>
              <a:solidFill>
                <a:srgbClr val="FF7CD2"/>
              </a:solidFill>
            </c:spPr>
          </c:dPt>
          <c:dPt>
            <c:idx val="989"/>
            <c:spPr>
              <a:solidFill>
                <a:srgbClr val="D46CBA"/>
              </a:solidFill>
            </c:spPr>
          </c:dPt>
          <c:dPt>
            <c:idx val="990"/>
            <c:spPr>
              <a:solidFill>
                <a:srgbClr val="CE1C15"/>
              </a:solidFill>
            </c:spPr>
          </c:dPt>
          <c:dPt>
            <c:idx val="991"/>
            <c:spPr>
              <a:solidFill>
                <a:srgbClr val="FA9D44"/>
              </a:solidFill>
            </c:spPr>
          </c:dPt>
          <c:dPt>
            <c:idx val="992"/>
            <c:spPr>
              <a:solidFill>
                <a:srgbClr val="C1B18D"/>
              </a:solidFill>
            </c:spPr>
          </c:dPt>
          <c:dPt>
            <c:idx val="993"/>
            <c:spPr>
              <a:solidFill>
                <a:srgbClr val="757B95"/>
              </a:solidFill>
            </c:spPr>
          </c:dPt>
          <c:dPt>
            <c:idx val="994"/>
            <c:spPr>
              <a:solidFill>
                <a:srgbClr val="FFA81E"/>
              </a:solidFill>
            </c:spPr>
          </c:dPt>
          <c:dPt>
            <c:idx val="995"/>
            <c:spPr>
              <a:solidFill>
                <a:srgbClr val="0C80CC"/>
              </a:solidFill>
            </c:spPr>
          </c:dPt>
          <c:dPt>
            <c:idx val="996"/>
            <c:spPr>
              <a:solidFill>
                <a:srgbClr val="064118"/>
              </a:solidFill>
            </c:spPr>
          </c:dPt>
          <c:dPt>
            <c:idx val="997"/>
            <c:spPr>
              <a:solidFill>
                <a:srgbClr val="00D581"/>
              </a:solidFill>
            </c:spPr>
          </c:dPt>
          <c:dPt>
            <c:idx val="998"/>
            <c:spPr>
              <a:solidFill>
                <a:srgbClr val="C2C5D8"/>
              </a:solidFill>
            </c:spPr>
          </c:dPt>
          <c:dPt>
            <c:idx val="999"/>
            <c:spPr>
              <a:solidFill>
                <a:srgbClr val="B195C9"/>
              </a:solidFill>
            </c:spPr>
          </c:dPt>
          <c:dPt>
            <c:idx val="1000"/>
            <c:spPr>
              <a:solidFill>
                <a:srgbClr val="FFD46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Expenses!$E$1:$E$1001</c:f>
            </c:strRef>
          </c:cat>
          <c:val>
            <c:numRef>
              <c:f>Expenses!$F$1:$F$1001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17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142875</xdr:colOff>
      <xdr:row>17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17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323850</xdr:colOff>
      <xdr:row>17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0"/>
    <col customWidth="1" min="2" max="2" width="18.75"/>
    <col customWidth="1" min="3" max="3" width="22.63"/>
    <col customWidth="1" min="4" max="4" width="16.13"/>
    <col customWidth="1" min="5" max="5" width="18.63"/>
  </cols>
  <sheetData>
    <row r="1">
      <c r="A1" s="1" t="s">
        <v>0</v>
      </c>
    </row>
    <row r="2">
      <c r="H2" s="2"/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H3" s="4" t="s">
        <v>5</v>
      </c>
      <c r="I3" s="4" t="s">
        <v>6</v>
      </c>
      <c r="J3" s="4" t="s">
        <v>7</v>
      </c>
    </row>
    <row r="4">
      <c r="A4" s="2"/>
      <c r="B4" s="5">
        <f>SUM(Income!F2:F1000)</f>
        <v>200000</v>
      </c>
      <c r="C4" s="5">
        <f>SUM(Expenses!F2:F1000)</f>
        <v>172087.29</v>
      </c>
      <c r="D4" s="6">
        <f>B4-C4</f>
        <v>27912.71</v>
      </c>
      <c r="E4" s="5">
        <f>SUM('Project Master'!G2:G1000)</f>
        <v>0</v>
      </c>
      <c r="H4" s="7">
        <v>45748.0</v>
      </c>
      <c r="I4" s="8">
        <f>SUMIFS(Income!$F$2:$F1000, Income!$A$2:$A1000, "&gt;="&amp;$H4, Income!$A$2:$A1000, "&lt;="&amp;EOMONTH($H4,0))</f>
        <v>0</v>
      </c>
      <c r="J4" s="8">
        <f>SUMIFS(Expenses!$F$2:$F1000, Expenses!$A$2:$A1000, "&gt;="&amp;$H4, Expenses!$A$2:$A1000, "&lt;="&amp;EOMONTH($H4,0))</f>
        <v>0</v>
      </c>
    </row>
    <row r="5">
      <c r="A5" s="2"/>
      <c r="H5" s="7">
        <v>45778.0</v>
      </c>
      <c r="I5" s="8">
        <f>SUMIFS(Income!$F$2:$F1000, Income!$A$2:$A1000, "&gt;="&amp;$H5, Income!$A$2:$A1000, "&lt;="&amp;EOMONTH($H5,0))</f>
        <v>0</v>
      </c>
      <c r="J5" s="8">
        <f>SUMIFS(Expenses!$F$2:$F1000, Expenses!$A$2:$A1000, "&gt;="&amp;$H5, Expenses!$A$2:$A1000, "&lt;="&amp;EOMONTH($H5,0))</f>
        <v>0</v>
      </c>
    </row>
    <row r="6">
      <c r="A6" s="2"/>
      <c r="H6" s="7">
        <v>45809.0</v>
      </c>
      <c r="I6" s="8">
        <f>SUMIFS(Income!$F$2:$F1000, Income!$A$2:$A1000, "&gt;="&amp;$H6, Income!$A$2:$A1000, "&lt;="&amp;EOMONTH($H6,0))</f>
        <v>0</v>
      </c>
      <c r="J6" s="8">
        <f>SUMIFS(Expenses!$F$2:$F1000, Expenses!$A$2:$A1000, "&gt;="&amp;$H6, Expenses!$A$2:$A1000, "&lt;="&amp;EOMONTH($H6,0))</f>
        <v>0</v>
      </c>
    </row>
    <row r="7">
      <c r="A7" s="2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H7" s="7">
        <v>45839.0</v>
      </c>
      <c r="I7" s="8">
        <f>SUMIFS(Income!$F$2:$F1000, Income!$A$2:$A1000, "&gt;="&amp;$H7, Income!$A$2:$A1000, "&lt;="&amp;EOMONTH($H7,0))</f>
        <v>0</v>
      </c>
      <c r="J7" s="8">
        <f>SUMIFS(Expenses!$F$2:$F1000, Expenses!$A$2:$A1000, "&gt;="&amp;$H7, Expenses!$A$2:$A1000, "&lt;="&amp;EOMONTH($H7,0))</f>
        <v>0</v>
      </c>
    </row>
    <row r="8">
      <c r="B8" s="10" t="str">
        <f>IFERROR(__xludf.DUMMYFUNCTION("QUERY('Project Master'!A2:B1000, ""SELECT A, B WHERE A IS NOT NULL"", 0)"),"COMMON")</f>
        <v>COMMON</v>
      </c>
      <c r="C8" s="10" t="str">
        <f>IFERROR(__xludf.DUMMYFUNCTION("""COMPUTED_VALUE"""),"Common")</f>
        <v>Common</v>
      </c>
      <c r="D8" s="8">
        <f t="array" ref="D8:D100">IF(LEN(B8:B100), SUMIF(Income!$B$2:$B1000, B8:B100, Income!$F$2:$F1000), "")</f>
        <v>0</v>
      </c>
      <c r="E8" s="8">
        <f t="array" ref="E8:E100">IF(LEN(B8:B100), SUMIF(Expenses!$B$2:$B1000, B8:B100, Expenses!$F$2:$F1000), "")</f>
        <v>2269.3</v>
      </c>
      <c r="F8" s="8">
        <f t="array" ref="F8:F100">IF(LEN(D8:D100), D8:D100 - E8:E100, "")</f>
        <v>-2269.3</v>
      </c>
      <c r="H8" s="7">
        <v>45870.0</v>
      </c>
      <c r="I8" s="8">
        <f>SUMIFS(Income!$F$2:$F1000, Income!$A$2:$A1000, "&gt;="&amp;$H8, Income!$A$2:$A1000, "&lt;="&amp;EOMONTH($H8,0))</f>
        <v>0</v>
      </c>
      <c r="J8" s="8">
        <f>SUMIFS(Expenses!$F$2:$F1000, Expenses!$A$2:$A1000, "&gt;="&amp;$H8, Expenses!$A$2:$A1000, "&lt;="&amp;EOMONTH($H8,0))</f>
        <v>0</v>
      </c>
    </row>
    <row r="9">
      <c r="B9" s="10" t="str">
        <f>IFERROR(__xludf.DUMMYFUNCTION("""COMPUTED_VALUE"""),"PROJ-1")</f>
        <v>PROJ-1</v>
      </c>
      <c r="C9" s="10" t="str">
        <f>IFERROR(__xludf.DUMMYFUNCTION("""COMPUTED_VALUE"""),"Sareeta Prusty")</f>
        <v>Sareeta Prusty</v>
      </c>
      <c r="D9" s="8">
        <v>200000.0</v>
      </c>
      <c r="E9" s="8">
        <v>169817.99</v>
      </c>
      <c r="F9" s="8">
        <v>30182.01000000001</v>
      </c>
      <c r="H9" s="7">
        <v>45901.0</v>
      </c>
      <c r="I9" s="8">
        <f>SUMIFS(Income!$F$2:$F1000, Income!$A$2:$A1000, "&gt;="&amp;$H9, Income!$A$2:$A1000, "&lt;="&amp;EOMONTH($H9,0))</f>
        <v>0</v>
      </c>
      <c r="J9" s="8">
        <f>SUMIFS(Expenses!$F$2:$F1000, Expenses!$A$2:$A1000, "&gt;="&amp;$H9, Expenses!$A$2:$A1000, "&lt;="&amp;EOMONTH($H9,0))</f>
        <v>0</v>
      </c>
    </row>
    <row r="10">
      <c r="A10" s="2"/>
      <c r="B10" s="10" t="str">
        <f>IFERROR(__xludf.DUMMYFUNCTION("""COMPUTED_VALUE"""),"PROJ-2")</f>
        <v>PROJ-2</v>
      </c>
      <c r="C10" s="10" t="str">
        <f>IFERROR(__xludf.DUMMYFUNCTION("""COMPUTED_VALUE"""),"Mr Sharma")</f>
        <v>Mr Sharma</v>
      </c>
      <c r="D10" s="8">
        <v>0.0</v>
      </c>
      <c r="E10" s="8">
        <v>0.0</v>
      </c>
      <c r="F10" s="8">
        <v>0.0</v>
      </c>
      <c r="H10" s="7">
        <v>45931.0</v>
      </c>
      <c r="I10" s="8">
        <f>SUMIFS(Income!$F$2:$F1000, Income!$A$2:$A1000, "&gt;="&amp;$H10, Income!$A$2:$A1000, "&lt;="&amp;EOMONTH($H10,0))</f>
        <v>200000</v>
      </c>
      <c r="J10" s="8">
        <f>SUMIFS(Expenses!$F$2:$F1000, Expenses!$A$2:$A1000, "&gt;="&amp;$H10, Expenses!$A$2:$A1000, "&lt;="&amp;EOMONTH($H10,0))</f>
        <v>172087.29</v>
      </c>
    </row>
    <row r="11">
      <c r="A11" s="2"/>
      <c r="D11" s="8" t="s">
        <v>13</v>
      </c>
      <c r="E11" s="8" t="s">
        <v>13</v>
      </c>
      <c r="F11" s="8" t="s">
        <v>13</v>
      </c>
      <c r="H11" s="7">
        <v>45962.0</v>
      </c>
      <c r="I11" s="8">
        <f>SUMIFS(Income!$F$2:$F1000, Income!$A$2:$A1000, "&gt;="&amp;$H11, Income!$A$2:$A1000, "&lt;="&amp;EOMONTH($H11,0))</f>
        <v>0</v>
      </c>
      <c r="J11" s="8">
        <f>SUMIFS(Expenses!$F$2:$F1000, Expenses!$A$2:$A1000, "&gt;="&amp;$H11, Expenses!$A$2:$A1000, "&lt;="&amp;EOMONTH($H11,0))</f>
        <v>0</v>
      </c>
    </row>
    <row r="12">
      <c r="D12" s="8" t="s">
        <v>13</v>
      </c>
      <c r="E12" s="8" t="s">
        <v>13</v>
      </c>
      <c r="F12" s="8" t="s">
        <v>13</v>
      </c>
      <c r="H12" s="7">
        <v>45992.0</v>
      </c>
      <c r="I12" s="8">
        <f>SUMIFS(Income!$F$2:$F1000, Income!$A$2:$A1000, "&gt;="&amp;$H12, Income!$A$2:$A1000, "&lt;="&amp;EOMONTH($H12,0))</f>
        <v>0</v>
      </c>
      <c r="J12" s="8">
        <f>SUMIFS(Expenses!$F$2:$F1000, Expenses!$A$2:$A1000, "&gt;="&amp;$H12, Expenses!$A$2:$A1000, "&lt;="&amp;EOMONTH($H12,0))</f>
        <v>0</v>
      </c>
    </row>
    <row r="13">
      <c r="D13" s="8" t="s">
        <v>13</v>
      </c>
      <c r="E13" s="8" t="s">
        <v>13</v>
      </c>
      <c r="F13" s="8" t="s">
        <v>13</v>
      </c>
      <c r="H13" s="7">
        <v>46023.0</v>
      </c>
      <c r="I13" s="8">
        <f>SUMIFS(Income!$F$2:$F1000, Income!$A$2:$A1000, "&gt;="&amp;$H13, Income!$A$2:$A1000, "&lt;="&amp;EOMONTH($H13,0))</f>
        <v>0</v>
      </c>
      <c r="J13" s="8">
        <f>SUMIFS(Expenses!$F$2:$F1000, Expenses!$A$2:$A1000, "&gt;="&amp;$H13, Expenses!$A$2:$A1000, "&lt;="&amp;EOMONTH($H13,0))</f>
        <v>0</v>
      </c>
    </row>
    <row r="14">
      <c r="D14" s="8" t="s">
        <v>13</v>
      </c>
      <c r="E14" s="8" t="s">
        <v>13</v>
      </c>
      <c r="F14" s="8" t="s">
        <v>13</v>
      </c>
      <c r="H14" s="7">
        <v>46054.0</v>
      </c>
      <c r="I14" s="8">
        <f>SUMIFS(Income!$F$2:$F1000, Income!$A$2:$A1000, "&gt;="&amp;$H14, Income!$A$2:$A1000, "&lt;="&amp;EOMONTH($H14,0))</f>
        <v>0</v>
      </c>
      <c r="J14" s="8">
        <f>SUMIFS(Expenses!$F$2:$F1000, Expenses!$A$2:$A1000, "&gt;="&amp;$H14, Expenses!$A$2:$A1000, "&lt;="&amp;EOMONTH($H14,0))</f>
        <v>0</v>
      </c>
    </row>
    <row r="15">
      <c r="D15" s="8" t="s">
        <v>13</v>
      </c>
      <c r="E15" s="8" t="s">
        <v>13</v>
      </c>
      <c r="F15" s="8" t="s">
        <v>13</v>
      </c>
      <c r="H15" s="7">
        <v>46082.0</v>
      </c>
      <c r="I15" s="8">
        <f>SUMIFS(Income!$F$2:$F1000, Income!$A$2:$A1000, "&gt;="&amp;$H15, Income!$A$2:$A1000, "&lt;="&amp;EOMONTH($H15,0))</f>
        <v>0</v>
      </c>
      <c r="J15" s="8">
        <f>SUMIFS(Expenses!$F$2:$F1000, Expenses!$A$2:$A1000, "&gt;="&amp;$H15, Expenses!$A$2:$A1000, "&lt;="&amp;EOMONTH($H15,0))</f>
        <v>0</v>
      </c>
    </row>
    <row r="16">
      <c r="D16" s="8" t="s">
        <v>13</v>
      </c>
      <c r="E16" s="8" t="s">
        <v>13</v>
      </c>
      <c r="F16" s="8" t="s">
        <v>13</v>
      </c>
    </row>
    <row r="17">
      <c r="D17" s="8" t="s">
        <v>13</v>
      </c>
      <c r="E17" s="8" t="s">
        <v>13</v>
      </c>
      <c r="F17" s="8" t="s">
        <v>13</v>
      </c>
    </row>
    <row r="18">
      <c r="D18" s="8" t="s">
        <v>13</v>
      </c>
      <c r="E18" s="8" t="s">
        <v>13</v>
      </c>
      <c r="F18" s="8" t="s">
        <v>13</v>
      </c>
    </row>
    <row r="19">
      <c r="D19" s="8" t="s">
        <v>13</v>
      </c>
      <c r="E19" s="8" t="s">
        <v>13</v>
      </c>
      <c r="F19" s="8" t="s">
        <v>13</v>
      </c>
    </row>
    <row r="20">
      <c r="D20" s="8" t="s">
        <v>13</v>
      </c>
      <c r="E20" s="8" t="s">
        <v>13</v>
      </c>
      <c r="F20" s="8" t="s">
        <v>13</v>
      </c>
    </row>
    <row r="21">
      <c r="D21" s="8" t="s">
        <v>13</v>
      </c>
      <c r="E21" s="8" t="s">
        <v>13</v>
      </c>
      <c r="F21" s="8" t="s">
        <v>13</v>
      </c>
    </row>
    <row r="22">
      <c r="D22" s="8" t="s">
        <v>13</v>
      </c>
      <c r="E22" s="8" t="s">
        <v>13</v>
      </c>
      <c r="F22" s="8" t="s">
        <v>13</v>
      </c>
    </row>
    <row r="23">
      <c r="D23" s="8" t="s">
        <v>13</v>
      </c>
      <c r="E23" s="8" t="s">
        <v>13</v>
      </c>
      <c r="F23" s="8" t="s">
        <v>13</v>
      </c>
    </row>
    <row r="24">
      <c r="D24" s="8" t="s">
        <v>13</v>
      </c>
      <c r="E24" s="8" t="s">
        <v>13</v>
      </c>
      <c r="F24" s="8" t="s">
        <v>13</v>
      </c>
    </row>
    <row r="25">
      <c r="D25" s="8" t="s">
        <v>13</v>
      </c>
      <c r="E25" s="8" t="s">
        <v>13</v>
      </c>
      <c r="F25" s="8" t="s">
        <v>13</v>
      </c>
    </row>
    <row r="26">
      <c r="D26" s="8" t="s">
        <v>13</v>
      </c>
      <c r="E26" s="8" t="s">
        <v>13</v>
      </c>
      <c r="F26" s="8" t="s">
        <v>13</v>
      </c>
    </row>
    <row r="27">
      <c r="D27" s="8" t="s">
        <v>13</v>
      </c>
      <c r="E27" s="8" t="s">
        <v>13</v>
      </c>
      <c r="F27" s="8" t="s">
        <v>13</v>
      </c>
    </row>
    <row r="28">
      <c r="D28" s="8" t="s">
        <v>13</v>
      </c>
      <c r="E28" s="8" t="s">
        <v>13</v>
      </c>
      <c r="F28" s="8" t="s">
        <v>13</v>
      </c>
    </row>
    <row r="29">
      <c r="D29" s="8" t="s">
        <v>13</v>
      </c>
      <c r="E29" s="8" t="s">
        <v>13</v>
      </c>
      <c r="F29" s="8" t="s">
        <v>13</v>
      </c>
    </row>
    <row r="30">
      <c r="D30" s="8" t="s">
        <v>13</v>
      </c>
      <c r="E30" s="8" t="s">
        <v>13</v>
      </c>
      <c r="F30" s="8" t="s">
        <v>13</v>
      </c>
    </row>
    <row r="31">
      <c r="D31" s="8" t="s">
        <v>13</v>
      </c>
      <c r="E31" s="8" t="s">
        <v>13</v>
      </c>
      <c r="F31" s="8" t="s">
        <v>13</v>
      </c>
    </row>
    <row r="32">
      <c r="D32" s="8" t="s">
        <v>13</v>
      </c>
      <c r="E32" s="8" t="s">
        <v>13</v>
      </c>
      <c r="F32" s="8" t="s">
        <v>13</v>
      </c>
    </row>
    <row r="33">
      <c r="D33" s="8" t="s">
        <v>13</v>
      </c>
      <c r="E33" s="8" t="s">
        <v>13</v>
      </c>
      <c r="F33" s="8" t="s">
        <v>13</v>
      </c>
    </row>
    <row r="34">
      <c r="D34" s="8" t="s">
        <v>13</v>
      </c>
      <c r="E34" s="8" t="s">
        <v>13</v>
      </c>
      <c r="F34" s="8" t="s">
        <v>13</v>
      </c>
    </row>
    <row r="35">
      <c r="D35" s="8" t="s">
        <v>13</v>
      </c>
      <c r="E35" s="8" t="s">
        <v>13</v>
      </c>
      <c r="F35" s="8" t="s">
        <v>13</v>
      </c>
    </row>
    <row r="36">
      <c r="D36" s="8" t="s">
        <v>13</v>
      </c>
      <c r="E36" s="8" t="s">
        <v>13</v>
      </c>
      <c r="F36" s="8" t="s">
        <v>13</v>
      </c>
    </row>
    <row r="37">
      <c r="D37" s="8" t="s">
        <v>13</v>
      </c>
      <c r="E37" s="8" t="s">
        <v>13</v>
      </c>
      <c r="F37" s="8" t="s">
        <v>13</v>
      </c>
    </row>
    <row r="38">
      <c r="D38" s="8" t="s">
        <v>13</v>
      </c>
      <c r="E38" s="8" t="s">
        <v>13</v>
      </c>
      <c r="F38" s="8" t="s">
        <v>13</v>
      </c>
    </row>
    <row r="39">
      <c r="D39" s="8" t="s">
        <v>13</v>
      </c>
      <c r="E39" s="8" t="s">
        <v>13</v>
      </c>
      <c r="F39" s="8" t="s">
        <v>13</v>
      </c>
    </row>
    <row r="40">
      <c r="D40" s="8" t="s">
        <v>13</v>
      </c>
      <c r="E40" s="8" t="s">
        <v>13</v>
      </c>
      <c r="F40" s="8" t="s">
        <v>13</v>
      </c>
    </row>
    <row r="41">
      <c r="D41" s="8" t="s">
        <v>13</v>
      </c>
      <c r="E41" s="8" t="s">
        <v>13</v>
      </c>
      <c r="F41" s="8" t="s">
        <v>13</v>
      </c>
    </row>
    <row r="42">
      <c r="D42" s="8" t="s">
        <v>13</v>
      </c>
      <c r="E42" s="8" t="s">
        <v>13</v>
      </c>
      <c r="F42" s="8" t="s">
        <v>13</v>
      </c>
    </row>
    <row r="43">
      <c r="D43" s="8" t="s">
        <v>13</v>
      </c>
      <c r="E43" s="8" t="s">
        <v>13</v>
      </c>
      <c r="F43" s="8" t="s">
        <v>13</v>
      </c>
    </row>
    <row r="44">
      <c r="D44" s="8" t="s">
        <v>13</v>
      </c>
      <c r="E44" s="8" t="s">
        <v>13</v>
      </c>
      <c r="F44" s="8" t="s">
        <v>13</v>
      </c>
    </row>
    <row r="45">
      <c r="D45" s="8" t="s">
        <v>13</v>
      </c>
      <c r="E45" s="8" t="s">
        <v>13</v>
      </c>
      <c r="F45" s="8" t="s">
        <v>13</v>
      </c>
    </row>
    <row r="46">
      <c r="D46" s="8" t="s">
        <v>13</v>
      </c>
      <c r="E46" s="8" t="s">
        <v>13</v>
      </c>
      <c r="F46" s="8" t="s">
        <v>13</v>
      </c>
    </row>
    <row r="47">
      <c r="D47" s="8" t="s">
        <v>13</v>
      </c>
      <c r="E47" s="8" t="s">
        <v>13</v>
      </c>
      <c r="F47" s="8" t="s">
        <v>13</v>
      </c>
    </row>
    <row r="48">
      <c r="D48" s="8" t="s">
        <v>13</v>
      </c>
      <c r="E48" s="8" t="s">
        <v>13</v>
      </c>
      <c r="F48" s="8" t="s">
        <v>13</v>
      </c>
    </row>
    <row r="49">
      <c r="D49" s="8" t="s">
        <v>13</v>
      </c>
      <c r="E49" s="8" t="s">
        <v>13</v>
      </c>
      <c r="F49" s="8" t="s">
        <v>13</v>
      </c>
    </row>
    <row r="50">
      <c r="D50" s="8" t="s">
        <v>13</v>
      </c>
      <c r="E50" s="8" t="s">
        <v>13</v>
      </c>
      <c r="F50" s="8" t="s">
        <v>13</v>
      </c>
    </row>
    <row r="51">
      <c r="D51" s="8" t="s">
        <v>13</v>
      </c>
      <c r="E51" s="8" t="s">
        <v>13</v>
      </c>
      <c r="F51" s="8" t="s">
        <v>13</v>
      </c>
    </row>
    <row r="52">
      <c r="D52" s="8" t="s">
        <v>13</v>
      </c>
      <c r="E52" s="8" t="s">
        <v>13</v>
      </c>
      <c r="F52" s="8" t="s">
        <v>13</v>
      </c>
    </row>
    <row r="53">
      <c r="D53" s="8" t="s">
        <v>13</v>
      </c>
      <c r="E53" s="8" t="s">
        <v>13</v>
      </c>
      <c r="F53" s="8" t="s">
        <v>13</v>
      </c>
    </row>
    <row r="54">
      <c r="D54" s="8" t="s">
        <v>13</v>
      </c>
      <c r="E54" s="8" t="s">
        <v>13</v>
      </c>
      <c r="F54" s="8" t="s">
        <v>13</v>
      </c>
    </row>
    <row r="55">
      <c r="D55" s="8" t="s">
        <v>13</v>
      </c>
      <c r="E55" s="8" t="s">
        <v>13</v>
      </c>
      <c r="F55" s="8" t="s">
        <v>13</v>
      </c>
    </row>
    <row r="56">
      <c r="D56" s="8" t="s">
        <v>13</v>
      </c>
      <c r="E56" s="8" t="s">
        <v>13</v>
      </c>
      <c r="F56" s="8" t="s">
        <v>13</v>
      </c>
    </row>
    <row r="57">
      <c r="D57" s="8" t="s">
        <v>13</v>
      </c>
      <c r="E57" s="8" t="s">
        <v>13</v>
      </c>
      <c r="F57" s="8" t="s">
        <v>13</v>
      </c>
    </row>
    <row r="58">
      <c r="D58" s="8" t="s">
        <v>13</v>
      </c>
      <c r="E58" s="8" t="s">
        <v>13</v>
      </c>
      <c r="F58" s="8" t="s">
        <v>13</v>
      </c>
    </row>
    <row r="59">
      <c r="D59" s="8" t="s">
        <v>13</v>
      </c>
      <c r="E59" s="8" t="s">
        <v>13</v>
      </c>
      <c r="F59" s="8" t="s">
        <v>13</v>
      </c>
    </row>
    <row r="60">
      <c r="D60" s="8" t="s">
        <v>13</v>
      </c>
      <c r="E60" s="8" t="s">
        <v>13</v>
      </c>
      <c r="F60" s="8" t="s">
        <v>13</v>
      </c>
    </row>
    <row r="61">
      <c r="D61" s="8" t="s">
        <v>13</v>
      </c>
      <c r="E61" s="8" t="s">
        <v>13</v>
      </c>
      <c r="F61" s="8" t="s">
        <v>13</v>
      </c>
    </row>
    <row r="62">
      <c r="D62" s="8" t="s">
        <v>13</v>
      </c>
      <c r="E62" s="8" t="s">
        <v>13</v>
      </c>
      <c r="F62" s="8" t="s">
        <v>13</v>
      </c>
    </row>
    <row r="63">
      <c r="D63" s="8" t="s">
        <v>13</v>
      </c>
      <c r="E63" s="8" t="s">
        <v>13</v>
      </c>
      <c r="F63" s="8" t="s">
        <v>13</v>
      </c>
    </row>
    <row r="64">
      <c r="D64" s="8" t="s">
        <v>13</v>
      </c>
      <c r="E64" s="8" t="s">
        <v>13</v>
      </c>
      <c r="F64" s="8" t="s">
        <v>13</v>
      </c>
    </row>
    <row r="65">
      <c r="D65" s="8" t="s">
        <v>13</v>
      </c>
      <c r="E65" s="8" t="s">
        <v>13</v>
      </c>
      <c r="F65" s="8" t="s">
        <v>13</v>
      </c>
    </row>
    <row r="66">
      <c r="D66" s="8" t="s">
        <v>13</v>
      </c>
      <c r="E66" s="8" t="s">
        <v>13</v>
      </c>
      <c r="F66" s="8" t="s">
        <v>13</v>
      </c>
    </row>
    <row r="67">
      <c r="D67" s="8" t="s">
        <v>13</v>
      </c>
      <c r="E67" s="8" t="s">
        <v>13</v>
      </c>
      <c r="F67" s="8" t="s">
        <v>13</v>
      </c>
    </row>
    <row r="68">
      <c r="D68" s="8" t="s">
        <v>13</v>
      </c>
      <c r="E68" s="8" t="s">
        <v>13</v>
      </c>
      <c r="F68" s="8" t="s">
        <v>13</v>
      </c>
    </row>
    <row r="69">
      <c r="D69" s="8" t="s">
        <v>13</v>
      </c>
      <c r="E69" s="8" t="s">
        <v>13</v>
      </c>
      <c r="F69" s="8" t="s">
        <v>13</v>
      </c>
    </row>
    <row r="70">
      <c r="D70" s="8" t="s">
        <v>13</v>
      </c>
      <c r="E70" s="8" t="s">
        <v>13</v>
      </c>
      <c r="F70" s="8" t="s">
        <v>13</v>
      </c>
    </row>
    <row r="71">
      <c r="D71" s="8" t="s">
        <v>13</v>
      </c>
      <c r="E71" s="8" t="s">
        <v>13</v>
      </c>
      <c r="F71" s="8" t="s">
        <v>13</v>
      </c>
    </row>
    <row r="72">
      <c r="D72" s="8" t="s">
        <v>13</v>
      </c>
      <c r="E72" s="8" t="s">
        <v>13</v>
      </c>
      <c r="F72" s="8" t="s">
        <v>13</v>
      </c>
    </row>
    <row r="73">
      <c r="D73" s="8" t="s">
        <v>13</v>
      </c>
      <c r="E73" s="8" t="s">
        <v>13</v>
      </c>
      <c r="F73" s="8" t="s">
        <v>13</v>
      </c>
    </row>
    <row r="74">
      <c r="D74" s="8" t="s">
        <v>13</v>
      </c>
      <c r="E74" s="8" t="s">
        <v>13</v>
      </c>
      <c r="F74" s="8" t="s">
        <v>13</v>
      </c>
    </row>
    <row r="75">
      <c r="D75" s="8" t="s">
        <v>13</v>
      </c>
      <c r="E75" s="8" t="s">
        <v>13</v>
      </c>
      <c r="F75" s="8" t="s">
        <v>13</v>
      </c>
    </row>
    <row r="76">
      <c r="D76" s="8" t="s">
        <v>13</v>
      </c>
      <c r="E76" s="8" t="s">
        <v>13</v>
      </c>
      <c r="F76" s="8" t="s">
        <v>13</v>
      </c>
    </row>
    <row r="77">
      <c r="D77" s="8" t="s">
        <v>13</v>
      </c>
      <c r="E77" s="8" t="s">
        <v>13</v>
      </c>
      <c r="F77" s="8" t="s">
        <v>13</v>
      </c>
    </row>
    <row r="78">
      <c r="D78" s="8" t="s">
        <v>13</v>
      </c>
      <c r="E78" s="8" t="s">
        <v>13</v>
      </c>
      <c r="F78" s="8" t="s">
        <v>13</v>
      </c>
    </row>
    <row r="79">
      <c r="D79" s="8" t="s">
        <v>13</v>
      </c>
      <c r="E79" s="8" t="s">
        <v>13</v>
      </c>
      <c r="F79" s="8" t="s">
        <v>13</v>
      </c>
    </row>
    <row r="80">
      <c r="D80" s="8" t="s">
        <v>13</v>
      </c>
      <c r="E80" s="8" t="s">
        <v>13</v>
      </c>
      <c r="F80" s="8" t="s">
        <v>13</v>
      </c>
    </row>
    <row r="81">
      <c r="D81" s="8" t="s">
        <v>13</v>
      </c>
      <c r="E81" s="8" t="s">
        <v>13</v>
      </c>
      <c r="F81" s="8" t="s">
        <v>13</v>
      </c>
    </row>
    <row r="82">
      <c r="D82" s="8" t="s">
        <v>13</v>
      </c>
      <c r="E82" s="8" t="s">
        <v>13</v>
      </c>
      <c r="F82" s="8" t="s">
        <v>13</v>
      </c>
    </row>
    <row r="83">
      <c r="D83" s="8" t="s">
        <v>13</v>
      </c>
      <c r="E83" s="8" t="s">
        <v>13</v>
      </c>
      <c r="F83" s="8" t="s">
        <v>13</v>
      </c>
    </row>
    <row r="84">
      <c r="D84" s="8" t="s">
        <v>13</v>
      </c>
      <c r="E84" s="8" t="s">
        <v>13</v>
      </c>
      <c r="F84" s="8" t="s">
        <v>13</v>
      </c>
    </row>
    <row r="85">
      <c r="D85" s="8" t="s">
        <v>13</v>
      </c>
      <c r="E85" s="8" t="s">
        <v>13</v>
      </c>
      <c r="F85" s="8" t="s">
        <v>13</v>
      </c>
    </row>
    <row r="86">
      <c r="D86" s="8" t="s">
        <v>13</v>
      </c>
      <c r="E86" s="8" t="s">
        <v>13</v>
      </c>
      <c r="F86" s="8" t="s">
        <v>13</v>
      </c>
    </row>
    <row r="87">
      <c r="D87" s="8" t="s">
        <v>13</v>
      </c>
      <c r="E87" s="8" t="s">
        <v>13</v>
      </c>
      <c r="F87" s="8" t="s">
        <v>13</v>
      </c>
    </row>
    <row r="88">
      <c r="D88" s="8" t="s">
        <v>13</v>
      </c>
      <c r="E88" s="8" t="s">
        <v>13</v>
      </c>
      <c r="F88" s="8" t="s">
        <v>13</v>
      </c>
    </row>
    <row r="89">
      <c r="D89" s="8" t="s">
        <v>13</v>
      </c>
      <c r="E89" s="8" t="s">
        <v>13</v>
      </c>
      <c r="F89" s="8" t="s">
        <v>13</v>
      </c>
    </row>
    <row r="90">
      <c r="D90" s="8" t="s">
        <v>13</v>
      </c>
      <c r="E90" s="8" t="s">
        <v>13</v>
      </c>
      <c r="F90" s="8" t="s">
        <v>13</v>
      </c>
    </row>
    <row r="91">
      <c r="D91" s="8" t="s">
        <v>13</v>
      </c>
      <c r="E91" s="8" t="s">
        <v>13</v>
      </c>
      <c r="F91" s="8" t="s">
        <v>13</v>
      </c>
    </row>
    <row r="92">
      <c r="D92" s="8" t="s">
        <v>13</v>
      </c>
      <c r="E92" s="8" t="s">
        <v>13</v>
      </c>
      <c r="F92" s="8" t="s">
        <v>13</v>
      </c>
    </row>
    <row r="93">
      <c r="D93" s="8" t="s">
        <v>13</v>
      </c>
      <c r="E93" s="8" t="s">
        <v>13</v>
      </c>
      <c r="F93" s="8" t="s">
        <v>13</v>
      </c>
    </row>
    <row r="94">
      <c r="D94" s="8" t="s">
        <v>13</v>
      </c>
      <c r="E94" s="8" t="s">
        <v>13</v>
      </c>
      <c r="F94" s="8" t="s">
        <v>13</v>
      </c>
    </row>
    <row r="95">
      <c r="D95" s="8" t="s">
        <v>13</v>
      </c>
      <c r="E95" s="8" t="s">
        <v>13</v>
      </c>
      <c r="F95" s="8" t="s">
        <v>13</v>
      </c>
    </row>
    <row r="96">
      <c r="D96" s="8" t="s">
        <v>13</v>
      </c>
      <c r="E96" s="8" t="s">
        <v>13</v>
      </c>
      <c r="F96" s="8" t="s">
        <v>13</v>
      </c>
    </row>
    <row r="97">
      <c r="D97" s="8" t="s">
        <v>13</v>
      </c>
      <c r="E97" s="8" t="s">
        <v>13</v>
      </c>
      <c r="F97" s="8" t="s">
        <v>13</v>
      </c>
    </row>
    <row r="98">
      <c r="D98" s="8" t="s">
        <v>13</v>
      </c>
      <c r="E98" s="8" t="s">
        <v>13</v>
      </c>
      <c r="F98" s="8" t="s">
        <v>13</v>
      </c>
    </row>
    <row r="99">
      <c r="D99" s="8" t="s">
        <v>13</v>
      </c>
      <c r="E99" s="8" t="s">
        <v>13</v>
      </c>
      <c r="F99" s="8" t="s">
        <v>13</v>
      </c>
    </row>
    <row r="100">
      <c r="D100" s="8" t="s">
        <v>13</v>
      </c>
      <c r="E100" s="8" t="s">
        <v>13</v>
      </c>
      <c r="F100" s="8" t="s">
        <v>13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1" t="s">
        <v>14</v>
      </c>
    </row>
    <row r="3">
      <c r="A3" s="12" t="s">
        <v>15</v>
      </c>
      <c r="B3" s="13">
        <f>SUMIFS(Income!F:F, Income!D:D, "*Subsidy*")</f>
        <v>0</v>
      </c>
    </row>
    <row r="5">
      <c r="A5" s="14" t="s">
        <v>16</v>
      </c>
      <c r="B5" s="14" t="s">
        <v>17</v>
      </c>
      <c r="D5" s="14"/>
      <c r="E5" s="14"/>
      <c r="F5" s="14"/>
    </row>
    <row r="6">
      <c r="A6" s="10" t="str">
        <f t="array" ref="A6:A14">UNIQUE(Settings!C2:C1000)</f>
        <v>Booking</v>
      </c>
      <c r="B6" s="10">
        <f>IF(A6:A15="", "", COUNTIF('Project Master'!E:E, A6:A15))</f>
        <v>0</v>
      </c>
    </row>
    <row r="7">
      <c r="A7" s="10" t="s">
        <v>18</v>
      </c>
      <c r="B7" s="10">
        <f>IF(A7:A16="", "", COUNTIF('Project Master'!E:E, A7:A16))</f>
        <v>0</v>
      </c>
    </row>
    <row r="8">
      <c r="A8" s="10" t="s">
        <v>19</v>
      </c>
      <c r="B8" s="10">
        <f>IF(A8:A17="", "", COUNTIF('Project Master'!E:E, A8:A17))</f>
        <v>0</v>
      </c>
    </row>
    <row r="9">
      <c r="A9" s="10" t="s">
        <v>20</v>
      </c>
      <c r="B9" s="10">
        <f>IF(A9:A18="", "", COUNTIF('Project Master'!E:E, A9:A18))</f>
        <v>0</v>
      </c>
    </row>
    <row r="10">
      <c r="A10" s="10" t="s">
        <v>21</v>
      </c>
      <c r="B10" s="10">
        <f>IF(A10:A19="", "", COUNTIF('Project Master'!E:E, A10:A19))</f>
        <v>0</v>
      </c>
    </row>
    <row r="11">
      <c r="A11" s="10" t="s">
        <v>22</v>
      </c>
      <c r="B11" s="10">
        <f>IF(A11:A20="", "", COUNTIF('Project Master'!E:E, A11:A20))</f>
        <v>0</v>
      </c>
    </row>
    <row r="12">
      <c r="A12" s="10" t="s">
        <v>23</v>
      </c>
      <c r="B12" s="10">
        <f>IF(A12:A21="", "", COUNTIF('Project Master'!E:E, A12:A21))</f>
        <v>0</v>
      </c>
    </row>
    <row r="13">
      <c r="A13" s="10" t="s">
        <v>24</v>
      </c>
      <c r="B13" s="10">
        <f>IF(A13:A22="", "", COUNTIF('Project Master'!E:E, A13:A22))</f>
        <v>1</v>
      </c>
    </row>
    <row r="14">
      <c r="A14" s="10"/>
      <c r="B14" s="10" t="str">
        <f>IF(A14:A23="", "", COUNTIF('Project Master'!E:E, A14:A23))</f>
        <v/>
      </c>
    </row>
    <row r="15">
      <c r="B15" s="10" t="str">
        <f>IF(A15:A24="", "", COUNTIF('Project Master'!E:E, A15:A24))</f>
        <v/>
      </c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0"/>
    <col customWidth="1" min="2" max="2" width="16.38"/>
    <col customWidth="1" min="3" max="3" width="22.63"/>
    <col customWidth="1" min="4" max="4" width="16.13"/>
    <col customWidth="1" min="5" max="5" width="18.63"/>
  </cols>
  <sheetData>
    <row r="1">
      <c r="A1" s="1" t="s">
        <v>0</v>
      </c>
    </row>
    <row r="2">
      <c r="H2" s="2"/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H3" s="4" t="s">
        <v>5</v>
      </c>
      <c r="I3" s="4" t="s">
        <v>6</v>
      </c>
      <c r="J3" s="4" t="s">
        <v>7</v>
      </c>
    </row>
    <row r="4">
      <c r="A4" s="2"/>
      <c r="B4" s="5">
        <f>SUM(Income!F2:F1000)</f>
        <v>200000</v>
      </c>
      <c r="C4" s="5">
        <f>SUM(Expenses!F2:F1000)</f>
        <v>172087.29</v>
      </c>
      <c r="D4" s="6">
        <f>B4-C4</f>
        <v>27912.71</v>
      </c>
      <c r="E4" s="5">
        <f>SUM('Project Master'!G2:G1000)</f>
        <v>0</v>
      </c>
      <c r="H4" s="7">
        <v>45748.0</v>
      </c>
      <c r="I4" s="8">
        <f>SUMIFS(Income!$F$2:$F1000, Income!$A$2:$A1000, "&gt;="&amp;$H4, Income!$A$2:$A1000, "&lt;="&amp;EOMONTH($H4,0))</f>
        <v>0</v>
      </c>
      <c r="J4" s="8">
        <f>SUMIFS(Expenses!$F$2:$F1000, Expenses!$A$2:$A1000, "&gt;="&amp;$H4, Expenses!$A$2:$A1000, "&lt;="&amp;EOMONTH($H4,0))</f>
        <v>0</v>
      </c>
    </row>
    <row r="5">
      <c r="A5" s="2"/>
      <c r="H5" s="7">
        <v>45778.0</v>
      </c>
      <c r="I5" s="8">
        <f>SUMIFS(Income!$F$2:$F1000, Income!$A$2:$A1000, "&gt;="&amp;$H5, Income!$A$2:$A1000, "&lt;="&amp;EOMONTH($H5,0))</f>
        <v>0</v>
      </c>
      <c r="J5" s="8">
        <f>SUMIFS(Expenses!$F$2:$F1000, Expenses!$A$2:$A1000, "&gt;="&amp;$H5, Expenses!$A$2:$A1000, "&lt;="&amp;EOMONTH($H5,0))</f>
        <v>0</v>
      </c>
    </row>
    <row r="6">
      <c r="A6" s="2"/>
      <c r="H6" s="7">
        <v>45809.0</v>
      </c>
      <c r="I6" s="8">
        <f>SUMIFS(Income!$F$2:$F1000, Income!$A$2:$A1000, "&gt;="&amp;$H6, Income!$A$2:$A1000, "&lt;="&amp;EOMONTH($H6,0))</f>
        <v>0</v>
      </c>
      <c r="J6" s="8">
        <f>SUMIFS(Expenses!$F$2:$F1000, Expenses!$A$2:$A1000, "&gt;="&amp;$H6, Expenses!$A$2:$A1000, "&lt;="&amp;EOMONTH($H6,0))</f>
        <v>0</v>
      </c>
    </row>
    <row r="7">
      <c r="A7" s="2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H7" s="7">
        <v>45839.0</v>
      </c>
      <c r="I7" s="8">
        <f>SUMIFS(Income!$F$2:$F1000, Income!$A$2:$A1000, "&gt;="&amp;$H7, Income!$A$2:$A1000, "&lt;="&amp;EOMONTH($H7,0))</f>
        <v>0</v>
      </c>
      <c r="J7" s="8">
        <f>SUMIFS(Expenses!$F$2:$F1000, Expenses!$A$2:$A1000, "&gt;="&amp;$H7, Expenses!$A$2:$A1000, "&lt;="&amp;EOMONTH($H7,0))</f>
        <v>0</v>
      </c>
    </row>
    <row r="8">
      <c r="B8" s="10" t="str">
        <f>IFERROR(__xludf.DUMMYFUNCTION("QUERY('Project Master'!A2:B1000, ""SELECT A, B WHERE A IS NOT NULL"", 0)"),"COMMON")</f>
        <v>COMMON</v>
      </c>
      <c r="C8" s="10" t="str">
        <f>IFERROR(__xludf.DUMMYFUNCTION("""COMPUTED_VALUE"""),"Common")</f>
        <v>Common</v>
      </c>
      <c r="D8" s="8">
        <f t="array" ref="D8:D100">IF(LEN(B8:B100), SUMIF(Income!$B$2:$B1000, B8:B100, Income!$F$2:$F1000), "")</f>
        <v>0</v>
      </c>
      <c r="E8" s="8">
        <f t="array" ref="E8:E100">IF(LEN(B8:B100), SUMIF(Expenses!$B$2:$B1000, B8:B100, Expenses!$F$2:$F1000), "")</f>
        <v>2269.3</v>
      </c>
      <c r="F8" s="8">
        <f t="array" ref="F8:F100">IF(LEN(D8:D100), D8:D100 - E8:E100, "")</f>
        <v>-2269.3</v>
      </c>
      <c r="H8" s="7">
        <v>45870.0</v>
      </c>
      <c r="I8" s="8">
        <f>SUMIFS(Income!$F$2:$F1000, Income!$A$2:$A1000, "&gt;="&amp;$H8, Income!$A$2:$A1000, "&lt;="&amp;EOMONTH($H8,0))</f>
        <v>0</v>
      </c>
      <c r="J8" s="8">
        <f>SUMIFS(Expenses!$F$2:$F1000, Expenses!$A$2:$A1000, "&gt;="&amp;$H8, Expenses!$A$2:$A1000, "&lt;="&amp;EOMONTH($H8,0))</f>
        <v>0</v>
      </c>
    </row>
    <row r="9">
      <c r="B9" s="10" t="str">
        <f>IFERROR(__xludf.DUMMYFUNCTION("""COMPUTED_VALUE"""),"PROJ-1")</f>
        <v>PROJ-1</v>
      </c>
      <c r="C9" s="10" t="str">
        <f>IFERROR(__xludf.DUMMYFUNCTION("""COMPUTED_VALUE"""),"Sareeta Prusty")</f>
        <v>Sareeta Prusty</v>
      </c>
      <c r="D9" s="8">
        <v>200000.0</v>
      </c>
      <c r="E9" s="8">
        <v>169817.99</v>
      </c>
      <c r="F9" s="8">
        <v>30182.01000000001</v>
      </c>
      <c r="H9" s="7">
        <v>45901.0</v>
      </c>
      <c r="I9" s="8">
        <f>SUMIFS(Income!$F$2:$F1000, Income!$A$2:$A1000, "&gt;="&amp;$H9, Income!$A$2:$A1000, "&lt;="&amp;EOMONTH($H9,0))</f>
        <v>0</v>
      </c>
      <c r="J9" s="8">
        <f>SUMIFS(Expenses!$F$2:$F1000, Expenses!$A$2:$A1000, "&gt;="&amp;$H9, Expenses!$A$2:$A1000, "&lt;="&amp;EOMONTH($H9,0))</f>
        <v>0</v>
      </c>
    </row>
    <row r="10">
      <c r="A10" s="2"/>
      <c r="B10" s="10" t="str">
        <f>IFERROR(__xludf.DUMMYFUNCTION("""COMPUTED_VALUE"""),"PROJ-2")</f>
        <v>PROJ-2</v>
      </c>
      <c r="C10" s="10" t="str">
        <f>IFERROR(__xludf.DUMMYFUNCTION("""COMPUTED_VALUE"""),"Mr Sharma")</f>
        <v>Mr Sharma</v>
      </c>
      <c r="D10" s="8">
        <v>0.0</v>
      </c>
      <c r="E10" s="8">
        <v>0.0</v>
      </c>
      <c r="F10" s="8">
        <v>0.0</v>
      </c>
      <c r="H10" s="7">
        <v>45931.0</v>
      </c>
      <c r="I10" s="8">
        <f>SUMIFS(Income!$F$2:$F1000, Income!$A$2:$A1000, "&gt;="&amp;$H10, Income!$A$2:$A1000, "&lt;="&amp;EOMONTH($H10,0))</f>
        <v>200000</v>
      </c>
      <c r="J10" s="8">
        <f>SUMIFS(Expenses!$F$2:$F1000, Expenses!$A$2:$A1000, "&gt;="&amp;$H10, Expenses!$A$2:$A1000, "&lt;="&amp;EOMONTH($H10,0))</f>
        <v>172087.29</v>
      </c>
    </row>
    <row r="11">
      <c r="A11" s="2"/>
      <c r="D11" s="8" t="s">
        <v>13</v>
      </c>
      <c r="E11" s="8" t="s">
        <v>13</v>
      </c>
      <c r="F11" s="8" t="s">
        <v>13</v>
      </c>
      <c r="H11" s="7">
        <v>45962.0</v>
      </c>
      <c r="I11" s="8">
        <f>SUMIFS(Income!$F$2:$F1000, Income!$A$2:$A1000, "&gt;="&amp;$H11, Income!$A$2:$A1000, "&lt;="&amp;EOMONTH($H11,0))</f>
        <v>0</v>
      </c>
      <c r="J11" s="8">
        <f>SUMIFS(Expenses!$F$2:$F1000, Expenses!$A$2:$A1000, "&gt;="&amp;$H11, Expenses!$A$2:$A1000, "&lt;="&amp;EOMONTH($H11,0))</f>
        <v>0</v>
      </c>
    </row>
    <row r="12">
      <c r="D12" s="8" t="s">
        <v>13</v>
      </c>
      <c r="E12" s="8" t="s">
        <v>13</v>
      </c>
      <c r="F12" s="8" t="s">
        <v>13</v>
      </c>
      <c r="H12" s="7">
        <v>45992.0</v>
      </c>
      <c r="I12" s="8">
        <f>SUMIFS(Income!$F$2:$F1000, Income!$A$2:$A1000, "&gt;="&amp;$H12, Income!$A$2:$A1000, "&lt;="&amp;EOMONTH($H12,0))</f>
        <v>0</v>
      </c>
      <c r="J12" s="8">
        <f>SUMIFS(Expenses!$F$2:$F1000, Expenses!$A$2:$A1000, "&gt;="&amp;$H12, Expenses!$A$2:$A1000, "&lt;="&amp;EOMONTH($H12,0))</f>
        <v>0</v>
      </c>
    </row>
    <row r="13">
      <c r="D13" s="8" t="s">
        <v>13</v>
      </c>
      <c r="E13" s="8" t="s">
        <v>13</v>
      </c>
      <c r="F13" s="8" t="s">
        <v>13</v>
      </c>
      <c r="H13" s="7">
        <v>46023.0</v>
      </c>
      <c r="I13" s="8">
        <f>SUMIFS(Income!$F$2:$F1000, Income!$A$2:$A1000, "&gt;="&amp;$H13, Income!$A$2:$A1000, "&lt;="&amp;EOMONTH($H13,0))</f>
        <v>0</v>
      </c>
      <c r="J13" s="8">
        <f>SUMIFS(Expenses!$F$2:$F1000, Expenses!$A$2:$A1000, "&gt;="&amp;$H13, Expenses!$A$2:$A1000, "&lt;="&amp;EOMONTH($H13,0))</f>
        <v>0</v>
      </c>
    </row>
    <row r="14">
      <c r="D14" s="8" t="s">
        <v>13</v>
      </c>
      <c r="E14" s="8" t="s">
        <v>13</v>
      </c>
      <c r="F14" s="8" t="s">
        <v>13</v>
      </c>
      <c r="H14" s="7">
        <v>46054.0</v>
      </c>
      <c r="I14" s="8">
        <f>SUMIFS(Income!$F$2:$F1000, Income!$A$2:$A1000, "&gt;="&amp;$H14, Income!$A$2:$A1000, "&lt;="&amp;EOMONTH($H14,0))</f>
        <v>0</v>
      </c>
      <c r="J14" s="8">
        <f>SUMIFS(Expenses!$F$2:$F1000, Expenses!$A$2:$A1000, "&gt;="&amp;$H14, Expenses!$A$2:$A1000, "&lt;="&amp;EOMONTH($H14,0))</f>
        <v>0</v>
      </c>
    </row>
    <row r="15">
      <c r="D15" s="8" t="s">
        <v>13</v>
      </c>
      <c r="E15" s="8" t="s">
        <v>13</v>
      </c>
      <c r="F15" s="8" t="s">
        <v>13</v>
      </c>
      <c r="H15" s="7">
        <v>46082.0</v>
      </c>
      <c r="I15" s="8">
        <f>SUMIFS(Income!$F$2:$F1000, Income!$A$2:$A1000, "&gt;="&amp;$H15, Income!$A$2:$A1000, "&lt;="&amp;EOMONTH($H15,0))</f>
        <v>0</v>
      </c>
      <c r="J15" s="8">
        <f>SUMIFS(Expenses!$F$2:$F1000, Expenses!$A$2:$A1000, "&gt;="&amp;$H15, Expenses!$A$2:$A1000, "&lt;="&amp;EOMONTH($H15,0))</f>
        <v>0</v>
      </c>
    </row>
    <row r="16">
      <c r="D16" s="8" t="s">
        <v>13</v>
      </c>
      <c r="E16" s="8" t="s">
        <v>13</v>
      </c>
      <c r="F16" s="8" t="s">
        <v>13</v>
      </c>
    </row>
    <row r="17">
      <c r="D17" s="8" t="s">
        <v>13</v>
      </c>
      <c r="E17" s="8" t="s">
        <v>13</v>
      </c>
      <c r="F17" s="8" t="s">
        <v>13</v>
      </c>
    </row>
    <row r="18">
      <c r="D18" s="8" t="s">
        <v>13</v>
      </c>
      <c r="E18" s="8" t="s">
        <v>13</v>
      </c>
      <c r="F18" s="8" t="s">
        <v>13</v>
      </c>
    </row>
    <row r="19">
      <c r="D19" s="8" t="s">
        <v>13</v>
      </c>
      <c r="E19" s="8" t="s">
        <v>13</v>
      </c>
      <c r="F19" s="8" t="s">
        <v>13</v>
      </c>
    </row>
    <row r="20">
      <c r="D20" s="8" t="s">
        <v>13</v>
      </c>
      <c r="E20" s="8" t="s">
        <v>13</v>
      </c>
      <c r="F20" s="8" t="s">
        <v>13</v>
      </c>
    </row>
    <row r="21">
      <c r="D21" s="8" t="s">
        <v>13</v>
      </c>
      <c r="E21" s="8" t="s">
        <v>13</v>
      </c>
      <c r="F21" s="8" t="s">
        <v>13</v>
      </c>
    </row>
    <row r="22">
      <c r="D22" s="8" t="s">
        <v>13</v>
      </c>
      <c r="E22" s="8" t="s">
        <v>13</v>
      </c>
      <c r="F22" s="8" t="s">
        <v>13</v>
      </c>
    </row>
    <row r="23">
      <c r="D23" s="8" t="s">
        <v>13</v>
      </c>
      <c r="E23" s="8" t="s">
        <v>13</v>
      </c>
      <c r="F23" s="8" t="s">
        <v>13</v>
      </c>
    </row>
    <row r="24">
      <c r="D24" s="8" t="s">
        <v>13</v>
      </c>
      <c r="E24" s="8" t="s">
        <v>13</v>
      </c>
      <c r="F24" s="8" t="s">
        <v>13</v>
      </c>
    </row>
    <row r="25">
      <c r="D25" s="8" t="s">
        <v>13</v>
      </c>
      <c r="E25" s="8" t="s">
        <v>13</v>
      </c>
      <c r="F25" s="8" t="s">
        <v>13</v>
      </c>
    </row>
    <row r="26">
      <c r="D26" s="8" t="s">
        <v>13</v>
      </c>
      <c r="E26" s="8" t="s">
        <v>13</v>
      </c>
      <c r="F26" s="8" t="s">
        <v>13</v>
      </c>
    </row>
    <row r="27">
      <c r="D27" s="8" t="s">
        <v>13</v>
      </c>
      <c r="E27" s="8" t="s">
        <v>13</v>
      </c>
      <c r="F27" s="8" t="s">
        <v>13</v>
      </c>
    </row>
    <row r="28">
      <c r="D28" s="8" t="s">
        <v>13</v>
      </c>
      <c r="E28" s="8" t="s">
        <v>13</v>
      </c>
      <c r="F28" s="8" t="s">
        <v>13</v>
      </c>
    </row>
    <row r="29">
      <c r="D29" s="8" t="s">
        <v>13</v>
      </c>
      <c r="E29" s="8" t="s">
        <v>13</v>
      </c>
      <c r="F29" s="8" t="s">
        <v>13</v>
      </c>
    </row>
    <row r="30">
      <c r="D30" s="8" t="s">
        <v>13</v>
      </c>
      <c r="E30" s="8" t="s">
        <v>13</v>
      </c>
      <c r="F30" s="8" t="s">
        <v>13</v>
      </c>
    </row>
    <row r="31">
      <c r="D31" s="8" t="s">
        <v>13</v>
      </c>
      <c r="E31" s="8" t="s">
        <v>13</v>
      </c>
      <c r="F31" s="8" t="s">
        <v>13</v>
      </c>
    </row>
    <row r="32">
      <c r="D32" s="8" t="s">
        <v>13</v>
      </c>
      <c r="E32" s="8" t="s">
        <v>13</v>
      </c>
      <c r="F32" s="8" t="s">
        <v>13</v>
      </c>
    </row>
    <row r="33">
      <c r="D33" s="8" t="s">
        <v>13</v>
      </c>
      <c r="E33" s="8" t="s">
        <v>13</v>
      </c>
      <c r="F33" s="8" t="s">
        <v>13</v>
      </c>
    </row>
    <row r="34">
      <c r="D34" s="8" t="s">
        <v>13</v>
      </c>
      <c r="E34" s="8" t="s">
        <v>13</v>
      </c>
      <c r="F34" s="8" t="s">
        <v>13</v>
      </c>
    </row>
    <row r="35">
      <c r="D35" s="8" t="s">
        <v>13</v>
      </c>
      <c r="E35" s="8" t="s">
        <v>13</v>
      </c>
      <c r="F35" s="8" t="s">
        <v>13</v>
      </c>
    </row>
    <row r="36">
      <c r="D36" s="8" t="s">
        <v>13</v>
      </c>
      <c r="E36" s="8" t="s">
        <v>13</v>
      </c>
      <c r="F36" s="8" t="s">
        <v>13</v>
      </c>
    </row>
    <row r="37">
      <c r="D37" s="8" t="s">
        <v>13</v>
      </c>
      <c r="E37" s="8" t="s">
        <v>13</v>
      </c>
      <c r="F37" s="8" t="s">
        <v>13</v>
      </c>
    </row>
    <row r="38">
      <c r="D38" s="8" t="s">
        <v>13</v>
      </c>
      <c r="E38" s="8" t="s">
        <v>13</v>
      </c>
      <c r="F38" s="8" t="s">
        <v>13</v>
      </c>
    </row>
    <row r="39">
      <c r="D39" s="8" t="s">
        <v>13</v>
      </c>
      <c r="E39" s="8" t="s">
        <v>13</v>
      </c>
      <c r="F39" s="8" t="s">
        <v>13</v>
      </c>
    </row>
    <row r="40">
      <c r="D40" s="8" t="s">
        <v>13</v>
      </c>
      <c r="E40" s="8" t="s">
        <v>13</v>
      </c>
      <c r="F40" s="8" t="s">
        <v>13</v>
      </c>
    </row>
    <row r="41">
      <c r="D41" s="8" t="s">
        <v>13</v>
      </c>
      <c r="E41" s="8" t="s">
        <v>13</v>
      </c>
      <c r="F41" s="8" t="s">
        <v>13</v>
      </c>
    </row>
    <row r="42">
      <c r="D42" s="8" t="s">
        <v>13</v>
      </c>
      <c r="E42" s="8" t="s">
        <v>13</v>
      </c>
      <c r="F42" s="8" t="s">
        <v>13</v>
      </c>
    </row>
    <row r="43">
      <c r="D43" s="8" t="s">
        <v>13</v>
      </c>
      <c r="E43" s="8" t="s">
        <v>13</v>
      </c>
      <c r="F43" s="8" t="s">
        <v>13</v>
      </c>
    </row>
    <row r="44">
      <c r="D44" s="8" t="s">
        <v>13</v>
      </c>
      <c r="E44" s="8" t="s">
        <v>13</v>
      </c>
      <c r="F44" s="8" t="s">
        <v>13</v>
      </c>
    </row>
    <row r="45">
      <c r="D45" s="8" t="s">
        <v>13</v>
      </c>
      <c r="E45" s="8" t="s">
        <v>13</v>
      </c>
      <c r="F45" s="8" t="s">
        <v>13</v>
      </c>
    </row>
    <row r="46">
      <c r="D46" s="8" t="s">
        <v>13</v>
      </c>
      <c r="E46" s="8" t="s">
        <v>13</v>
      </c>
      <c r="F46" s="8" t="s">
        <v>13</v>
      </c>
    </row>
    <row r="47">
      <c r="D47" s="8" t="s">
        <v>13</v>
      </c>
      <c r="E47" s="8" t="s">
        <v>13</v>
      </c>
      <c r="F47" s="8" t="s">
        <v>13</v>
      </c>
    </row>
    <row r="48">
      <c r="D48" s="8" t="s">
        <v>13</v>
      </c>
      <c r="E48" s="8" t="s">
        <v>13</v>
      </c>
      <c r="F48" s="8" t="s">
        <v>13</v>
      </c>
    </row>
    <row r="49">
      <c r="D49" s="8" t="s">
        <v>13</v>
      </c>
      <c r="E49" s="8" t="s">
        <v>13</v>
      </c>
      <c r="F49" s="8" t="s">
        <v>13</v>
      </c>
    </row>
    <row r="50">
      <c r="D50" s="8" t="s">
        <v>13</v>
      </c>
      <c r="E50" s="8" t="s">
        <v>13</v>
      </c>
      <c r="F50" s="8" t="s">
        <v>13</v>
      </c>
    </row>
    <row r="51">
      <c r="D51" s="8" t="s">
        <v>13</v>
      </c>
      <c r="E51" s="8" t="s">
        <v>13</v>
      </c>
      <c r="F51" s="8" t="s">
        <v>13</v>
      </c>
    </row>
    <row r="52">
      <c r="D52" s="8" t="s">
        <v>13</v>
      </c>
      <c r="E52" s="8" t="s">
        <v>13</v>
      </c>
      <c r="F52" s="8" t="s">
        <v>13</v>
      </c>
    </row>
    <row r="53">
      <c r="D53" s="8" t="s">
        <v>13</v>
      </c>
      <c r="E53" s="8" t="s">
        <v>13</v>
      </c>
      <c r="F53" s="8" t="s">
        <v>13</v>
      </c>
    </row>
    <row r="54">
      <c r="D54" s="8" t="s">
        <v>13</v>
      </c>
      <c r="E54" s="8" t="s">
        <v>13</v>
      </c>
      <c r="F54" s="8" t="s">
        <v>13</v>
      </c>
    </row>
    <row r="55">
      <c r="D55" s="8" t="s">
        <v>13</v>
      </c>
      <c r="E55" s="8" t="s">
        <v>13</v>
      </c>
      <c r="F55" s="8" t="s">
        <v>13</v>
      </c>
    </row>
    <row r="56">
      <c r="D56" s="8" t="s">
        <v>13</v>
      </c>
      <c r="E56" s="8" t="s">
        <v>13</v>
      </c>
      <c r="F56" s="8" t="s">
        <v>13</v>
      </c>
    </row>
    <row r="57">
      <c r="D57" s="8" t="s">
        <v>13</v>
      </c>
      <c r="E57" s="8" t="s">
        <v>13</v>
      </c>
      <c r="F57" s="8" t="s">
        <v>13</v>
      </c>
    </row>
    <row r="58">
      <c r="D58" s="8" t="s">
        <v>13</v>
      </c>
      <c r="E58" s="8" t="s">
        <v>13</v>
      </c>
      <c r="F58" s="8" t="s">
        <v>13</v>
      </c>
    </row>
    <row r="59">
      <c r="D59" s="8" t="s">
        <v>13</v>
      </c>
      <c r="E59" s="8" t="s">
        <v>13</v>
      </c>
      <c r="F59" s="8" t="s">
        <v>13</v>
      </c>
    </row>
    <row r="60">
      <c r="D60" s="8" t="s">
        <v>13</v>
      </c>
      <c r="E60" s="8" t="s">
        <v>13</v>
      </c>
      <c r="F60" s="8" t="s">
        <v>13</v>
      </c>
    </row>
    <row r="61">
      <c r="D61" s="8" t="s">
        <v>13</v>
      </c>
      <c r="E61" s="8" t="s">
        <v>13</v>
      </c>
      <c r="F61" s="8" t="s">
        <v>13</v>
      </c>
    </row>
    <row r="62">
      <c r="D62" s="8" t="s">
        <v>13</v>
      </c>
      <c r="E62" s="8" t="s">
        <v>13</v>
      </c>
      <c r="F62" s="8" t="s">
        <v>13</v>
      </c>
    </row>
    <row r="63">
      <c r="D63" s="8" t="s">
        <v>13</v>
      </c>
      <c r="E63" s="8" t="s">
        <v>13</v>
      </c>
      <c r="F63" s="8" t="s">
        <v>13</v>
      </c>
    </row>
    <row r="64">
      <c r="D64" s="8" t="s">
        <v>13</v>
      </c>
      <c r="E64" s="8" t="s">
        <v>13</v>
      </c>
      <c r="F64" s="8" t="s">
        <v>13</v>
      </c>
    </row>
    <row r="65">
      <c r="D65" s="8" t="s">
        <v>13</v>
      </c>
      <c r="E65" s="8" t="s">
        <v>13</v>
      </c>
      <c r="F65" s="8" t="s">
        <v>13</v>
      </c>
    </row>
    <row r="66">
      <c r="D66" s="8" t="s">
        <v>13</v>
      </c>
      <c r="E66" s="8" t="s">
        <v>13</v>
      </c>
      <c r="F66" s="8" t="s">
        <v>13</v>
      </c>
    </row>
    <row r="67">
      <c r="D67" s="8" t="s">
        <v>13</v>
      </c>
      <c r="E67" s="8" t="s">
        <v>13</v>
      </c>
      <c r="F67" s="8" t="s">
        <v>13</v>
      </c>
    </row>
    <row r="68">
      <c r="D68" s="8" t="s">
        <v>13</v>
      </c>
      <c r="E68" s="8" t="s">
        <v>13</v>
      </c>
      <c r="F68" s="8" t="s">
        <v>13</v>
      </c>
    </row>
    <row r="69">
      <c r="D69" s="8" t="s">
        <v>13</v>
      </c>
      <c r="E69" s="8" t="s">
        <v>13</v>
      </c>
      <c r="F69" s="8" t="s">
        <v>13</v>
      </c>
    </row>
    <row r="70">
      <c r="D70" s="8" t="s">
        <v>13</v>
      </c>
      <c r="E70" s="8" t="s">
        <v>13</v>
      </c>
      <c r="F70" s="8" t="s">
        <v>13</v>
      </c>
    </row>
    <row r="71">
      <c r="D71" s="8" t="s">
        <v>13</v>
      </c>
      <c r="E71" s="8" t="s">
        <v>13</v>
      </c>
      <c r="F71" s="8" t="s">
        <v>13</v>
      </c>
    </row>
    <row r="72">
      <c r="D72" s="8" t="s">
        <v>13</v>
      </c>
      <c r="E72" s="8" t="s">
        <v>13</v>
      </c>
      <c r="F72" s="8" t="s">
        <v>13</v>
      </c>
    </row>
    <row r="73">
      <c r="D73" s="8" t="s">
        <v>13</v>
      </c>
      <c r="E73" s="8" t="s">
        <v>13</v>
      </c>
      <c r="F73" s="8" t="s">
        <v>13</v>
      </c>
    </row>
    <row r="74">
      <c r="D74" s="8" t="s">
        <v>13</v>
      </c>
      <c r="E74" s="8" t="s">
        <v>13</v>
      </c>
      <c r="F74" s="8" t="s">
        <v>13</v>
      </c>
    </row>
    <row r="75">
      <c r="D75" s="8" t="s">
        <v>13</v>
      </c>
      <c r="E75" s="8" t="s">
        <v>13</v>
      </c>
      <c r="F75" s="8" t="s">
        <v>13</v>
      </c>
    </row>
    <row r="76">
      <c r="D76" s="8" t="s">
        <v>13</v>
      </c>
      <c r="E76" s="8" t="s">
        <v>13</v>
      </c>
      <c r="F76" s="8" t="s">
        <v>13</v>
      </c>
    </row>
    <row r="77">
      <c r="D77" s="8" t="s">
        <v>13</v>
      </c>
      <c r="E77" s="8" t="s">
        <v>13</v>
      </c>
      <c r="F77" s="8" t="s">
        <v>13</v>
      </c>
    </row>
    <row r="78">
      <c r="D78" s="8" t="s">
        <v>13</v>
      </c>
      <c r="E78" s="8" t="s">
        <v>13</v>
      </c>
      <c r="F78" s="8" t="s">
        <v>13</v>
      </c>
    </row>
    <row r="79">
      <c r="D79" s="8" t="s">
        <v>13</v>
      </c>
      <c r="E79" s="8" t="s">
        <v>13</v>
      </c>
      <c r="F79" s="8" t="s">
        <v>13</v>
      </c>
    </row>
    <row r="80">
      <c r="D80" s="8" t="s">
        <v>13</v>
      </c>
      <c r="E80" s="8" t="s">
        <v>13</v>
      </c>
      <c r="F80" s="8" t="s">
        <v>13</v>
      </c>
    </row>
    <row r="81">
      <c r="D81" s="8" t="s">
        <v>13</v>
      </c>
      <c r="E81" s="8" t="s">
        <v>13</v>
      </c>
      <c r="F81" s="8" t="s">
        <v>13</v>
      </c>
    </row>
    <row r="82">
      <c r="D82" s="8" t="s">
        <v>13</v>
      </c>
      <c r="E82" s="8" t="s">
        <v>13</v>
      </c>
      <c r="F82" s="8" t="s">
        <v>13</v>
      </c>
    </row>
    <row r="83">
      <c r="D83" s="8" t="s">
        <v>13</v>
      </c>
      <c r="E83" s="8" t="s">
        <v>13</v>
      </c>
      <c r="F83" s="8" t="s">
        <v>13</v>
      </c>
    </row>
    <row r="84">
      <c r="D84" s="8" t="s">
        <v>13</v>
      </c>
      <c r="E84" s="8" t="s">
        <v>13</v>
      </c>
      <c r="F84" s="8" t="s">
        <v>13</v>
      </c>
    </row>
    <row r="85">
      <c r="D85" s="8" t="s">
        <v>13</v>
      </c>
      <c r="E85" s="8" t="s">
        <v>13</v>
      </c>
      <c r="F85" s="8" t="s">
        <v>13</v>
      </c>
    </row>
    <row r="86">
      <c r="D86" s="8" t="s">
        <v>13</v>
      </c>
      <c r="E86" s="8" t="s">
        <v>13</v>
      </c>
      <c r="F86" s="8" t="s">
        <v>13</v>
      </c>
    </row>
    <row r="87">
      <c r="D87" s="8" t="s">
        <v>13</v>
      </c>
      <c r="E87" s="8" t="s">
        <v>13</v>
      </c>
      <c r="F87" s="8" t="s">
        <v>13</v>
      </c>
    </row>
    <row r="88">
      <c r="D88" s="8" t="s">
        <v>13</v>
      </c>
      <c r="E88" s="8" t="s">
        <v>13</v>
      </c>
      <c r="F88" s="8" t="s">
        <v>13</v>
      </c>
    </row>
    <row r="89">
      <c r="D89" s="8" t="s">
        <v>13</v>
      </c>
      <c r="E89" s="8" t="s">
        <v>13</v>
      </c>
      <c r="F89" s="8" t="s">
        <v>13</v>
      </c>
    </row>
    <row r="90">
      <c r="D90" s="8" t="s">
        <v>13</v>
      </c>
      <c r="E90" s="8" t="s">
        <v>13</v>
      </c>
      <c r="F90" s="8" t="s">
        <v>13</v>
      </c>
    </row>
    <row r="91">
      <c r="D91" s="8" t="s">
        <v>13</v>
      </c>
      <c r="E91" s="8" t="s">
        <v>13</v>
      </c>
      <c r="F91" s="8" t="s">
        <v>13</v>
      </c>
    </row>
    <row r="92">
      <c r="D92" s="8" t="s">
        <v>13</v>
      </c>
      <c r="E92" s="8" t="s">
        <v>13</v>
      </c>
      <c r="F92" s="8" t="s">
        <v>13</v>
      </c>
    </row>
    <row r="93">
      <c r="D93" s="8" t="s">
        <v>13</v>
      </c>
      <c r="E93" s="8" t="s">
        <v>13</v>
      </c>
      <c r="F93" s="8" t="s">
        <v>13</v>
      </c>
    </row>
    <row r="94">
      <c r="D94" s="8" t="s">
        <v>13</v>
      </c>
      <c r="E94" s="8" t="s">
        <v>13</v>
      </c>
      <c r="F94" s="8" t="s">
        <v>13</v>
      </c>
    </row>
    <row r="95">
      <c r="D95" s="8" t="s">
        <v>13</v>
      </c>
      <c r="E95" s="8" t="s">
        <v>13</v>
      </c>
      <c r="F95" s="8" t="s">
        <v>13</v>
      </c>
    </row>
    <row r="96">
      <c r="D96" s="8" t="s">
        <v>13</v>
      </c>
      <c r="E96" s="8" t="s">
        <v>13</v>
      </c>
      <c r="F96" s="8" t="s">
        <v>13</v>
      </c>
    </row>
    <row r="97">
      <c r="D97" s="8" t="s">
        <v>13</v>
      </c>
      <c r="E97" s="8" t="s">
        <v>13</v>
      </c>
      <c r="F97" s="8" t="s">
        <v>13</v>
      </c>
    </row>
    <row r="98">
      <c r="D98" s="8" t="s">
        <v>13</v>
      </c>
      <c r="E98" s="8" t="s">
        <v>13</v>
      </c>
      <c r="F98" s="8" t="s">
        <v>13</v>
      </c>
    </row>
    <row r="99">
      <c r="D99" s="8" t="s">
        <v>13</v>
      </c>
      <c r="E99" s="8" t="s">
        <v>13</v>
      </c>
      <c r="F99" s="8" t="s">
        <v>13</v>
      </c>
    </row>
    <row r="100">
      <c r="D100" s="8" t="s">
        <v>13</v>
      </c>
      <c r="E100" s="8" t="s">
        <v>13</v>
      </c>
      <c r="F100" s="8" t="s">
        <v>13</v>
      </c>
    </row>
  </sheetData>
  <mergeCells count="1">
    <mergeCell ref="A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5" max="5" width="16.38"/>
  </cols>
  <sheetData>
    <row r="1">
      <c r="A1" s="15" t="s">
        <v>8</v>
      </c>
      <c r="B1" s="15" t="s">
        <v>9</v>
      </c>
      <c r="C1" s="15" t="s">
        <v>25</v>
      </c>
      <c r="D1" s="15" t="s">
        <v>26</v>
      </c>
      <c r="E1" s="15" t="s">
        <v>16</v>
      </c>
      <c r="F1" s="15" t="s">
        <v>27</v>
      </c>
      <c r="G1" s="15" t="s">
        <v>28</v>
      </c>
    </row>
    <row r="2" hidden="1">
      <c r="A2" s="16" t="s">
        <v>29</v>
      </c>
      <c r="B2" s="16" t="s">
        <v>30</v>
      </c>
      <c r="C2" s="17"/>
      <c r="D2" s="18"/>
      <c r="E2" s="18"/>
    </row>
    <row r="3">
      <c r="A3" s="18" t="s">
        <v>31</v>
      </c>
      <c r="B3" s="18" t="s">
        <v>32</v>
      </c>
      <c r="C3" s="17">
        <v>200000.0</v>
      </c>
      <c r="D3" s="18" t="s">
        <v>33</v>
      </c>
      <c r="E3" s="16" t="s">
        <v>24</v>
      </c>
      <c r="F3" s="10">
        <f>IF(A3="", "", SUMIF(Income!B:B, A3, Income!F:F))</f>
        <v>200000</v>
      </c>
      <c r="G3" s="10">
        <f t="shared" ref="G3:G101" si="1">IF(A3="", "", C3-F3)</f>
        <v>0</v>
      </c>
    </row>
    <row r="4">
      <c r="A4" s="19" t="s">
        <v>34</v>
      </c>
      <c r="B4" s="19" t="s">
        <v>35</v>
      </c>
      <c r="D4" s="10"/>
      <c r="E4" s="10"/>
      <c r="F4" s="10">
        <f>IF(A4="", "", SUMIF(Income!B:B, A4, Income!F:F))</f>
        <v>0</v>
      </c>
      <c r="G4" s="10">
        <f t="shared" si="1"/>
        <v>0</v>
      </c>
    </row>
    <row r="5">
      <c r="D5" s="10"/>
      <c r="E5" s="10"/>
      <c r="F5" s="10" t="str">
        <f>IF(A5="", "", SUMIF(Income!B:B, A5, Income!F:F))</f>
        <v/>
      </c>
      <c r="G5" s="10" t="str">
        <f t="shared" si="1"/>
        <v/>
      </c>
    </row>
    <row r="6">
      <c r="D6" s="10"/>
      <c r="E6" s="10"/>
      <c r="F6" s="10" t="str">
        <f>IF(A6="", "", SUMIF(Income!B:B, A6, Income!F:F))</f>
        <v/>
      </c>
      <c r="G6" s="10" t="str">
        <f t="shared" si="1"/>
        <v/>
      </c>
    </row>
    <row r="7">
      <c r="D7" s="10"/>
      <c r="E7" s="10"/>
      <c r="F7" s="10" t="str">
        <f>IF(A7="", "", SUMIF(Income!B:B, A7, Income!F:F))</f>
        <v/>
      </c>
      <c r="G7" s="10" t="str">
        <f t="shared" si="1"/>
        <v/>
      </c>
    </row>
    <row r="8">
      <c r="D8" s="10"/>
      <c r="E8" s="10"/>
      <c r="F8" s="10" t="str">
        <f>IF(A8="", "", SUMIF(Income!B:B, A8, Income!F:F))</f>
        <v/>
      </c>
      <c r="G8" s="10" t="str">
        <f t="shared" si="1"/>
        <v/>
      </c>
    </row>
    <row r="9">
      <c r="D9" s="10"/>
      <c r="E9" s="10"/>
      <c r="F9" s="10" t="str">
        <f>IF(A9="", "", SUMIF(Income!B:B, A9, Income!F:F))</f>
        <v/>
      </c>
      <c r="G9" s="10" t="str">
        <f t="shared" si="1"/>
        <v/>
      </c>
    </row>
    <row r="10">
      <c r="D10" s="10"/>
      <c r="E10" s="10"/>
      <c r="F10" s="10" t="str">
        <f>IF(A10="", "", SUMIF(Income!B:B, A10, Income!F:F))</f>
        <v/>
      </c>
      <c r="G10" s="10" t="str">
        <f t="shared" si="1"/>
        <v/>
      </c>
    </row>
    <row r="11">
      <c r="D11" s="10"/>
      <c r="E11" s="10"/>
      <c r="F11" s="10" t="str">
        <f>IF(A11="", "", SUMIF(Income!B:B, A11, Income!F:F))</f>
        <v/>
      </c>
      <c r="G11" s="10" t="str">
        <f t="shared" si="1"/>
        <v/>
      </c>
    </row>
    <row r="12">
      <c r="D12" s="10"/>
      <c r="E12" s="10"/>
      <c r="F12" s="10" t="str">
        <f>IF(A12="", "", SUMIF(Income!B:B, A12, Income!F:F))</f>
        <v/>
      </c>
      <c r="G12" s="10" t="str">
        <f t="shared" si="1"/>
        <v/>
      </c>
    </row>
    <row r="13">
      <c r="D13" s="10"/>
      <c r="E13" s="10"/>
      <c r="F13" s="10" t="str">
        <f>IF(A13="", "", SUMIF(Income!B:B, A13, Income!F:F))</f>
        <v/>
      </c>
      <c r="G13" s="10" t="str">
        <f t="shared" si="1"/>
        <v/>
      </c>
    </row>
    <row r="14">
      <c r="D14" s="10"/>
      <c r="E14" s="10"/>
      <c r="F14" s="10" t="str">
        <f>IF(A14="", "", SUMIF(Income!B:B, A14, Income!F:F))</f>
        <v/>
      </c>
      <c r="G14" s="10" t="str">
        <f t="shared" si="1"/>
        <v/>
      </c>
    </row>
    <row r="15">
      <c r="D15" s="10"/>
      <c r="E15" s="10"/>
      <c r="F15" s="10" t="str">
        <f>IF(A15="", "", SUMIF(Income!B:B, A15, Income!F:F))</f>
        <v/>
      </c>
      <c r="G15" s="10" t="str">
        <f t="shared" si="1"/>
        <v/>
      </c>
    </row>
    <row r="16">
      <c r="D16" s="10"/>
      <c r="E16" s="10"/>
      <c r="F16" s="10" t="str">
        <f>IF(A16="", "", SUMIF(Income!B:B, A16, Income!F:F))</f>
        <v/>
      </c>
      <c r="G16" s="10" t="str">
        <f t="shared" si="1"/>
        <v/>
      </c>
    </row>
    <row r="17">
      <c r="D17" s="10"/>
      <c r="E17" s="10"/>
      <c r="F17" s="10" t="str">
        <f>IF(A17="", "", SUMIF(Income!B:B, A17, Income!F:F))</f>
        <v/>
      </c>
      <c r="G17" s="10" t="str">
        <f t="shared" si="1"/>
        <v/>
      </c>
    </row>
    <row r="18">
      <c r="D18" s="10"/>
      <c r="E18" s="10"/>
      <c r="F18" s="10" t="str">
        <f>IF(A18="", "", SUMIF(Income!B:B, A18, Income!F:F))</f>
        <v/>
      </c>
      <c r="G18" s="10" t="str">
        <f t="shared" si="1"/>
        <v/>
      </c>
    </row>
    <row r="19">
      <c r="D19" s="10"/>
      <c r="E19" s="10"/>
      <c r="F19" s="10" t="str">
        <f>IF(A19="", "", SUMIF(Income!B:B, A19, Income!F:F))</f>
        <v/>
      </c>
      <c r="G19" s="10" t="str">
        <f t="shared" si="1"/>
        <v/>
      </c>
    </row>
    <row r="20">
      <c r="D20" s="10"/>
      <c r="E20" s="10"/>
      <c r="F20" s="10" t="str">
        <f>IF(A20="", "", SUMIF(Income!B:B, A20, Income!F:F))</f>
        <v/>
      </c>
      <c r="G20" s="10" t="str">
        <f t="shared" si="1"/>
        <v/>
      </c>
    </row>
    <row r="21">
      <c r="D21" s="10"/>
      <c r="E21" s="10"/>
      <c r="F21" s="10" t="str">
        <f>IF(A21="", "", SUMIF(Income!B:B, A21, Income!F:F))</f>
        <v/>
      </c>
      <c r="G21" s="10" t="str">
        <f t="shared" si="1"/>
        <v/>
      </c>
    </row>
    <row r="22">
      <c r="D22" s="10"/>
      <c r="E22" s="10"/>
      <c r="F22" s="10" t="str">
        <f>IF(A22="", "", SUMIF(Income!B:B, A22, Income!F:F))</f>
        <v/>
      </c>
      <c r="G22" s="10" t="str">
        <f t="shared" si="1"/>
        <v/>
      </c>
    </row>
    <row r="23">
      <c r="D23" s="10"/>
      <c r="E23" s="10"/>
      <c r="F23" s="10" t="str">
        <f>IF(A23="", "", SUMIF(Income!B:B, A23, Income!F:F))</f>
        <v/>
      </c>
      <c r="G23" s="10" t="str">
        <f t="shared" si="1"/>
        <v/>
      </c>
    </row>
    <row r="24">
      <c r="D24" s="10"/>
      <c r="E24" s="10"/>
      <c r="F24" s="10" t="str">
        <f>IF(A24="", "", SUMIF(Income!B:B, A24, Income!F:F))</f>
        <v/>
      </c>
      <c r="G24" s="10" t="str">
        <f t="shared" si="1"/>
        <v/>
      </c>
    </row>
    <row r="25">
      <c r="D25" s="10"/>
      <c r="E25" s="10"/>
      <c r="F25" s="10" t="str">
        <f>IF(A25="", "", SUMIF(Income!B:B, A25, Income!F:F))</f>
        <v/>
      </c>
      <c r="G25" s="10" t="str">
        <f t="shared" si="1"/>
        <v/>
      </c>
    </row>
    <row r="26">
      <c r="D26" s="10"/>
      <c r="E26" s="10"/>
      <c r="F26" s="10" t="str">
        <f>IF(A26="", "", SUMIF(Income!B:B, A26, Income!F:F))</f>
        <v/>
      </c>
      <c r="G26" s="10" t="str">
        <f t="shared" si="1"/>
        <v/>
      </c>
    </row>
    <row r="27">
      <c r="D27" s="10"/>
      <c r="E27" s="10"/>
      <c r="F27" s="10" t="str">
        <f>IF(A27="", "", SUMIF(Income!B:B, A27, Income!F:F))</f>
        <v/>
      </c>
      <c r="G27" s="10" t="str">
        <f t="shared" si="1"/>
        <v/>
      </c>
    </row>
    <row r="28">
      <c r="D28" s="10"/>
      <c r="E28" s="10"/>
      <c r="F28" s="10" t="str">
        <f>IF(A28="", "", SUMIF(Income!B:B, A28, Income!F:F))</f>
        <v/>
      </c>
      <c r="G28" s="10" t="str">
        <f t="shared" si="1"/>
        <v/>
      </c>
    </row>
    <row r="29">
      <c r="D29" s="10"/>
      <c r="E29" s="10"/>
      <c r="F29" s="10" t="str">
        <f>IF(A29="", "", SUMIF(Income!B:B, A29, Income!F:F))</f>
        <v/>
      </c>
      <c r="G29" s="10" t="str">
        <f t="shared" si="1"/>
        <v/>
      </c>
    </row>
    <row r="30">
      <c r="D30" s="10"/>
      <c r="E30" s="10"/>
      <c r="F30" s="10" t="str">
        <f>IF(A30="", "", SUMIF(Income!B:B, A30, Income!F:F))</f>
        <v/>
      </c>
      <c r="G30" s="10" t="str">
        <f t="shared" si="1"/>
        <v/>
      </c>
    </row>
    <row r="31">
      <c r="D31" s="10"/>
      <c r="E31" s="10"/>
      <c r="F31" s="10" t="str">
        <f>IF(A31="", "", SUMIF(Income!B:B, A31, Income!F:F))</f>
        <v/>
      </c>
      <c r="G31" s="10" t="str">
        <f t="shared" si="1"/>
        <v/>
      </c>
    </row>
    <row r="32">
      <c r="D32" s="10"/>
      <c r="E32" s="10"/>
      <c r="F32" s="10" t="str">
        <f>IF(A32="", "", SUMIF(Income!B:B, A32, Income!F:F))</f>
        <v/>
      </c>
      <c r="G32" s="10" t="str">
        <f t="shared" si="1"/>
        <v/>
      </c>
    </row>
    <row r="33">
      <c r="D33" s="10"/>
      <c r="E33" s="10"/>
      <c r="F33" s="10" t="str">
        <f>IF(A33="", "", SUMIF(Income!B:B, A33, Income!F:F))</f>
        <v/>
      </c>
      <c r="G33" s="10" t="str">
        <f t="shared" si="1"/>
        <v/>
      </c>
    </row>
    <row r="34">
      <c r="D34" s="10"/>
      <c r="E34" s="10"/>
      <c r="F34" s="10" t="str">
        <f>IF(A34="", "", SUMIF(Income!B:B, A34, Income!F:F))</f>
        <v/>
      </c>
      <c r="G34" s="10" t="str">
        <f t="shared" si="1"/>
        <v/>
      </c>
    </row>
    <row r="35">
      <c r="D35" s="10"/>
      <c r="E35" s="10"/>
      <c r="F35" s="10" t="str">
        <f>IF(A35="", "", SUMIF(Income!B:B, A35, Income!F:F))</f>
        <v/>
      </c>
      <c r="G35" s="10" t="str">
        <f t="shared" si="1"/>
        <v/>
      </c>
    </row>
    <row r="36">
      <c r="D36" s="10"/>
      <c r="E36" s="10"/>
      <c r="F36" s="10" t="str">
        <f>IF(A36="", "", SUMIF(Income!B:B, A36, Income!F:F))</f>
        <v/>
      </c>
      <c r="G36" s="10" t="str">
        <f t="shared" si="1"/>
        <v/>
      </c>
    </row>
    <row r="37">
      <c r="D37" s="10"/>
      <c r="E37" s="10"/>
      <c r="F37" s="10" t="str">
        <f>IF(A37="", "", SUMIF(Income!B:B, A37, Income!F:F))</f>
        <v/>
      </c>
      <c r="G37" s="10" t="str">
        <f t="shared" si="1"/>
        <v/>
      </c>
    </row>
    <row r="38">
      <c r="D38" s="10"/>
      <c r="E38" s="10"/>
      <c r="F38" s="10" t="str">
        <f>IF(A38="", "", SUMIF(Income!B:B, A38, Income!F:F))</f>
        <v/>
      </c>
      <c r="G38" s="10" t="str">
        <f t="shared" si="1"/>
        <v/>
      </c>
    </row>
    <row r="39">
      <c r="D39" s="10"/>
      <c r="E39" s="10"/>
      <c r="F39" s="10" t="str">
        <f>IF(A39="", "", SUMIF(Income!B:B, A39, Income!F:F))</f>
        <v/>
      </c>
      <c r="G39" s="10" t="str">
        <f t="shared" si="1"/>
        <v/>
      </c>
    </row>
    <row r="40">
      <c r="D40" s="10"/>
      <c r="E40" s="10"/>
      <c r="F40" s="10" t="str">
        <f>IF(A40="", "", SUMIF(Income!B:B, A40, Income!F:F))</f>
        <v/>
      </c>
      <c r="G40" s="10" t="str">
        <f t="shared" si="1"/>
        <v/>
      </c>
    </row>
    <row r="41">
      <c r="D41" s="10"/>
      <c r="E41" s="10"/>
      <c r="F41" s="10" t="str">
        <f>IF(A41="", "", SUMIF(Income!B:B, A41, Income!F:F))</f>
        <v/>
      </c>
      <c r="G41" s="10" t="str">
        <f t="shared" si="1"/>
        <v/>
      </c>
    </row>
    <row r="42">
      <c r="D42" s="10"/>
      <c r="E42" s="10"/>
      <c r="F42" s="10" t="str">
        <f>IF(A42="", "", SUMIF(Income!B:B, A42, Income!F:F))</f>
        <v/>
      </c>
      <c r="G42" s="10" t="str">
        <f t="shared" si="1"/>
        <v/>
      </c>
    </row>
    <row r="43">
      <c r="D43" s="10"/>
      <c r="E43" s="10"/>
      <c r="F43" s="10" t="str">
        <f>IF(A43="", "", SUMIF(Income!B:B, A43, Income!F:F))</f>
        <v/>
      </c>
      <c r="G43" s="10" t="str">
        <f t="shared" si="1"/>
        <v/>
      </c>
    </row>
    <row r="44">
      <c r="D44" s="10"/>
      <c r="E44" s="10"/>
      <c r="F44" s="10" t="str">
        <f>IF(A44="", "", SUMIF(Income!B:B, A44, Income!F:F))</f>
        <v/>
      </c>
      <c r="G44" s="10" t="str">
        <f t="shared" si="1"/>
        <v/>
      </c>
    </row>
    <row r="45">
      <c r="D45" s="10"/>
      <c r="E45" s="10"/>
      <c r="F45" s="10" t="str">
        <f>IF(A45="", "", SUMIF(Income!B:B, A45, Income!F:F))</f>
        <v/>
      </c>
      <c r="G45" s="10" t="str">
        <f t="shared" si="1"/>
        <v/>
      </c>
    </row>
    <row r="46">
      <c r="D46" s="10"/>
      <c r="E46" s="10"/>
      <c r="F46" s="10" t="str">
        <f>IF(A46="", "", SUMIF(Income!B:B, A46, Income!F:F))</f>
        <v/>
      </c>
      <c r="G46" s="10" t="str">
        <f t="shared" si="1"/>
        <v/>
      </c>
    </row>
    <row r="47">
      <c r="D47" s="10"/>
      <c r="E47" s="10"/>
      <c r="F47" s="10" t="str">
        <f>IF(A47="", "", SUMIF(Income!B:B, A47, Income!F:F))</f>
        <v/>
      </c>
      <c r="G47" s="10" t="str">
        <f t="shared" si="1"/>
        <v/>
      </c>
    </row>
    <row r="48">
      <c r="D48" s="10"/>
      <c r="E48" s="10"/>
      <c r="F48" s="10" t="str">
        <f>IF(A48="", "", SUMIF(Income!B:B, A48, Income!F:F))</f>
        <v/>
      </c>
      <c r="G48" s="10" t="str">
        <f t="shared" si="1"/>
        <v/>
      </c>
    </row>
    <row r="49">
      <c r="D49" s="10"/>
      <c r="E49" s="10"/>
      <c r="F49" s="10" t="str">
        <f>IF(A49="", "", SUMIF(Income!B:B, A49, Income!F:F))</f>
        <v/>
      </c>
      <c r="G49" s="10" t="str">
        <f t="shared" si="1"/>
        <v/>
      </c>
    </row>
    <row r="50">
      <c r="D50" s="10"/>
      <c r="E50" s="10"/>
      <c r="F50" s="10" t="str">
        <f>IF(A50="", "", SUMIF(Income!B:B, A50, Income!F:F))</f>
        <v/>
      </c>
      <c r="G50" s="10" t="str">
        <f t="shared" si="1"/>
        <v/>
      </c>
    </row>
    <row r="51">
      <c r="D51" s="10"/>
      <c r="E51" s="10"/>
      <c r="F51" s="10" t="str">
        <f>IF(A51="", "", SUMIF(Income!B:B, A51, Income!F:F))</f>
        <v/>
      </c>
      <c r="G51" s="10" t="str">
        <f t="shared" si="1"/>
        <v/>
      </c>
    </row>
    <row r="52">
      <c r="D52" s="10"/>
      <c r="E52" s="10"/>
      <c r="F52" s="10" t="str">
        <f>IF(A52="", "", SUMIF(Income!B:B, A52, Income!F:F))</f>
        <v/>
      </c>
      <c r="G52" s="10" t="str">
        <f t="shared" si="1"/>
        <v/>
      </c>
    </row>
    <row r="53">
      <c r="D53" s="10"/>
      <c r="E53" s="10"/>
      <c r="F53" s="10" t="str">
        <f>IF(A53="", "", SUMIF(Income!B:B, A53, Income!F:F))</f>
        <v/>
      </c>
      <c r="G53" s="10" t="str">
        <f t="shared" si="1"/>
        <v/>
      </c>
    </row>
    <row r="54">
      <c r="D54" s="10"/>
      <c r="E54" s="10"/>
      <c r="F54" s="10" t="str">
        <f>IF(A54="", "", SUMIF(Income!B:B, A54, Income!F:F))</f>
        <v/>
      </c>
      <c r="G54" s="10" t="str">
        <f t="shared" si="1"/>
        <v/>
      </c>
    </row>
    <row r="55">
      <c r="D55" s="10"/>
      <c r="E55" s="10"/>
      <c r="F55" s="10" t="str">
        <f>IF(A55="", "", SUMIF(Income!B:B, A55, Income!F:F))</f>
        <v/>
      </c>
      <c r="G55" s="10" t="str">
        <f t="shared" si="1"/>
        <v/>
      </c>
    </row>
    <row r="56">
      <c r="D56" s="10"/>
      <c r="E56" s="10"/>
      <c r="F56" s="10" t="str">
        <f>IF(A56="", "", SUMIF(Income!B:B, A56, Income!F:F))</f>
        <v/>
      </c>
      <c r="G56" s="10" t="str">
        <f t="shared" si="1"/>
        <v/>
      </c>
    </row>
    <row r="57">
      <c r="D57" s="10"/>
      <c r="E57" s="10"/>
      <c r="F57" s="10" t="str">
        <f>IF(A57="", "", SUMIF(Income!B:B, A57, Income!F:F))</f>
        <v/>
      </c>
      <c r="G57" s="10" t="str">
        <f t="shared" si="1"/>
        <v/>
      </c>
    </row>
    <row r="58">
      <c r="D58" s="10"/>
      <c r="E58" s="10"/>
      <c r="F58" s="10" t="str">
        <f>IF(A58="", "", SUMIF(Income!B:B, A58, Income!F:F))</f>
        <v/>
      </c>
      <c r="G58" s="10" t="str">
        <f t="shared" si="1"/>
        <v/>
      </c>
    </row>
    <row r="59">
      <c r="D59" s="10"/>
      <c r="E59" s="10"/>
      <c r="F59" s="10" t="str">
        <f>IF(A59="", "", SUMIF(Income!B:B, A59, Income!F:F))</f>
        <v/>
      </c>
      <c r="G59" s="10" t="str">
        <f t="shared" si="1"/>
        <v/>
      </c>
    </row>
    <row r="60">
      <c r="D60" s="10"/>
      <c r="E60" s="10"/>
      <c r="F60" s="10" t="str">
        <f>IF(A60="", "", SUMIF(Income!B:B, A60, Income!F:F))</f>
        <v/>
      </c>
      <c r="G60" s="10" t="str">
        <f t="shared" si="1"/>
        <v/>
      </c>
    </row>
    <row r="61">
      <c r="D61" s="10"/>
      <c r="E61" s="10"/>
      <c r="F61" s="10" t="str">
        <f>IF(A61="", "", SUMIF(Income!B:B, A61, Income!F:F))</f>
        <v/>
      </c>
      <c r="G61" s="10" t="str">
        <f t="shared" si="1"/>
        <v/>
      </c>
    </row>
    <row r="62">
      <c r="D62" s="10"/>
      <c r="E62" s="10"/>
      <c r="F62" s="10" t="str">
        <f>IF(A62="", "", SUMIF(Income!B:B, A62, Income!F:F))</f>
        <v/>
      </c>
      <c r="G62" s="10" t="str">
        <f t="shared" si="1"/>
        <v/>
      </c>
    </row>
    <row r="63">
      <c r="D63" s="10"/>
      <c r="E63" s="10"/>
      <c r="F63" s="10" t="str">
        <f>IF(A63="", "", SUMIF(Income!B:B, A63, Income!F:F))</f>
        <v/>
      </c>
      <c r="G63" s="10" t="str">
        <f t="shared" si="1"/>
        <v/>
      </c>
    </row>
    <row r="64">
      <c r="D64" s="10"/>
      <c r="E64" s="10"/>
      <c r="F64" s="10" t="str">
        <f>IF(A64="", "", SUMIF(Income!B:B, A64, Income!F:F))</f>
        <v/>
      </c>
      <c r="G64" s="10" t="str">
        <f t="shared" si="1"/>
        <v/>
      </c>
    </row>
    <row r="65">
      <c r="D65" s="10"/>
      <c r="E65" s="10"/>
      <c r="F65" s="10" t="str">
        <f>IF(A65="", "", SUMIF(Income!B:B, A65, Income!F:F))</f>
        <v/>
      </c>
      <c r="G65" s="10" t="str">
        <f t="shared" si="1"/>
        <v/>
      </c>
    </row>
    <row r="66">
      <c r="D66" s="10"/>
      <c r="E66" s="10"/>
      <c r="F66" s="10" t="str">
        <f>IF(A66="", "", SUMIF(Income!B:B, A66, Income!F:F))</f>
        <v/>
      </c>
      <c r="G66" s="10" t="str">
        <f t="shared" si="1"/>
        <v/>
      </c>
    </row>
    <row r="67">
      <c r="D67" s="10"/>
      <c r="E67" s="10"/>
      <c r="F67" s="10" t="str">
        <f>IF(A67="", "", SUMIF(Income!B:B, A67, Income!F:F))</f>
        <v/>
      </c>
      <c r="G67" s="10" t="str">
        <f t="shared" si="1"/>
        <v/>
      </c>
    </row>
    <row r="68">
      <c r="D68" s="10"/>
      <c r="E68" s="10"/>
      <c r="F68" s="10" t="str">
        <f>IF(A68="", "", SUMIF(Income!B:B, A68, Income!F:F))</f>
        <v/>
      </c>
      <c r="G68" s="10" t="str">
        <f t="shared" si="1"/>
        <v/>
      </c>
    </row>
    <row r="69">
      <c r="D69" s="10"/>
      <c r="E69" s="10"/>
      <c r="F69" s="10" t="str">
        <f>IF(A69="", "", SUMIF(Income!B:B, A69, Income!F:F))</f>
        <v/>
      </c>
      <c r="G69" s="10" t="str">
        <f t="shared" si="1"/>
        <v/>
      </c>
    </row>
    <row r="70">
      <c r="D70" s="10"/>
      <c r="E70" s="10"/>
      <c r="F70" s="10" t="str">
        <f>IF(A70="", "", SUMIF(Income!B:B, A70, Income!F:F))</f>
        <v/>
      </c>
      <c r="G70" s="10" t="str">
        <f t="shared" si="1"/>
        <v/>
      </c>
    </row>
    <row r="71">
      <c r="D71" s="10"/>
      <c r="E71" s="10"/>
      <c r="F71" s="10" t="str">
        <f>IF(A71="", "", SUMIF(Income!B:B, A71, Income!F:F))</f>
        <v/>
      </c>
      <c r="G71" s="10" t="str">
        <f t="shared" si="1"/>
        <v/>
      </c>
    </row>
    <row r="72">
      <c r="D72" s="10"/>
      <c r="E72" s="10"/>
      <c r="F72" s="10" t="str">
        <f>IF(A72="", "", SUMIF(Income!B:B, A72, Income!F:F))</f>
        <v/>
      </c>
      <c r="G72" s="10" t="str">
        <f t="shared" si="1"/>
        <v/>
      </c>
    </row>
    <row r="73">
      <c r="D73" s="10"/>
      <c r="E73" s="10"/>
      <c r="F73" s="10" t="str">
        <f>IF(A73="", "", SUMIF(Income!B:B, A73, Income!F:F))</f>
        <v/>
      </c>
      <c r="G73" s="10" t="str">
        <f t="shared" si="1"/>
        <v/>
      </c>
    </row>
    <row r="74">
      <c r="D74" s="10"/>
      <c r="E74" s="10"/>
      <c r="F74" s="10" t="str">
        <f>IF(A74="", "", SUMIF(Income!B:B, A74, Income!F:F))</f>
        <v/>
      </c>
      <c r="G74" s="10" t="str">
        <f t="shared" si="1"/>
        <v/>
      </c>
    </row>
    <row r="75">
      <c r="D75" s="10"/>
      <c r="E75" s="10"/>
      <c r="F75" s="10" t="str">
        <f>IF(A75="", "", SUMIF(Income!B:B, A75, Income!F:F))</f>
        <v/>
      </c>
      <c r="G75" s="10" t="str">
        <f t="shared" si="1"/>
        <v/>
      </c>
    </row>
    <row r="76">
      <c r="D76" s="10"/>
      <c r="E76" s="10"/>
      <c r="F76" s="10" t="str">
        <f>IF(A76="", "", SUMIF(Income!B:B, A76, Income!F:F))</f>
        <v/>
      </c>
      <c r="G76" s="10" t="str">
        <f t="shared" si="1"/>
        <v/>
      </c>
    </row>
    <row r="77">
      <c r="D77" s="10"/>
      <c r="E77" s="10"/>
      <c r="F77" s="10" t="str">
        <f>IF(A77="", "", SUMIF(Income!B:B, A77, Income!F:F))</f>
        <v/>
      </c>
      <c r="G77" s="10" t="str">
        <f t="shared" si="1"/>
        <v/>
      </c>
    </row>
    <row r="78">
      <c r="D78" s="10"/>
      <c r="E78" s="10"/>
      <c r="F78" s="10" t="str">
        <f>IF(A78="", "", SUMIF(Income!B:B, A78, Income!F:F))</f>
        <v/>
      </c>
      <c r="G78" s="10" t="str">
        <f t="shared" si="1"/>
        <v/>
      </c>
    </row>
    <row r="79">
      <c r="D79" s="10"/>
      <c r="E79" s="10"/>
      <c r="F79" s="10" t="str">
        <f>IF(A79="", "", SUMIF(Income!B:B, A79, Income!F:F))</f>
        <v/>
      </c>
      <c r="G79" s="10" t="str">
        <f t="shared" si="1"/>
        <v/>
      </c>
    </row>
    <row r="80">
      <c r="D80" s="10"/>
      <c r="E80" s="10"/>
      <c r="F80" s="10" t="str">
        <f>IF(A80="", "", SUMIF(Income!B:B, A80, Income!F:F))</f>
        <v/>
      </c>
      <c r="G80" s="10" t="str">
        <f t="shared" si="1"/>
        <v/>
      </c>
    </row>
    <row r="81">
      <c r="D81" s="10"/>
      <c r="E81" s="10"/>
      <c r="F81" s="10" t="str">
        <f>IF(A81="", "", SUMIF(Income!B:B, A81, Income!F:F))</f>
        <v/>
      </c>
      <c r="G81" s="10" t="str">
        <f t="shared" si="1"/>
        <v/>
      </c>
    </row>
    <row r="82">
      <c r="D82" s="10"/>
      <c r="E82" s="10"/>
      <c r="F82" s="10" t="str">
        <f>IF(A82="", "", SUMIF(Income!B:B, A82, Income!F:F))</f>
        <v/>
      </c>
      <c r="G82" s="10" t="str">
        <f t="shared" si="1"/>
        <v/>
      </c>
    </row>
    <row r="83">
      <c r="D83" s="10"/>
      <c r="E83" s="10"/>
      <c r="F83" s="10" t="str">
        <f>IF(A83="", "", SUMIF(Income!B:B, A83, Income!F:F))</f>
        <v/>
      </c>
      <c r="G83" s="10" t="str">
        <f t="shared" si="1"/>
        <v/>
      </c>
    </row>
    <row r="84">
      <c r="D84" s="10"/>
      <c r="E84" s="10"/>
      <c r="F84" s="10" t="str">
        <f>IF(A84="", "", SUMIF(Income!B:B, A84, Income!F:F))</f>
        <v/>
      </c>
      <c r="G84" s="10" t="str">
        <f t="shared" si="1"/>
        <v/>
      </c>
    </row>
    <row r="85">
      <c r="D85" s="10"/>
      <c r="E85" s="10"/>
      <c r="F85" s="10" t="str">
        <f>IF(A85="", "", SUMIF(Income!B:B, A85, Income!F:F))</f>
        <v/>
      </c>
      <c r="G85" s="10" t="str">
        <f t="shared" si="1"/>
        <v/>
      </c>
    </row>
    <row r="86">
      <c r="D86" s="10"/>
      <c r="E86" s="10"/>
      <c r="F86" s="10" t="str">
        <f>IF(A86="", "", SUMIF(Income!B:B, A86, Income!F:F))</f>
        <v/>
      </c>
      <c r="G86" s="10" t="str">
        <f t="shared" si="1"/>
        <v/>
      </c>
    </row>
    <row r="87">
      <c r="D87" s="10"/>
      <c r="E87" s="10"/>
      <c r="F87" s="10" t="str">
        <f>IF(A87="", "", SUMIF(Income!B:B, A87, Income!F:F))</f>
        <v/>
      </c>
      <c r="G87" s="10" t="str">
        <f t="shared" si="1"/>
        <v/>
      </c>
    </row>
    <row r="88">
      <c r="D88" s="10"/>
      <c r="E88" s="10"/>
      <c r="F88" s="10" t="str">
        <f>IF(A88="", "", SUMIF(Income!B:B, A88, Income!F:F))</f>
        <v/>
      </c>
      <c r="G88" s="10" t="str">
        <f t="shared" si="1"/>
        <v/>
      </c>
    </row>
    <row r="89">
      <c r="D89" s="10"/>
      <c r="E89" s="10"/>
      <c r="F89" s="10" t="str">
        <f>IF(A89="", "", SUMIF(Income!B:B, A89, Income!F:F))</f>
        <v/>
      </c>
      <c r="G89" s="10" t="str">
        <f t="shared" si="1"/>
        <v/>
      </c>
    </row>
    <row r="90">
      <c r="D90" s="10"/>
      <c r="E90" s="10"/>
      <c r="F90" s="10" t="str">
        <f>IF(A90="", "", SUMIF(Income!B:B, A90, Income!F:F))</f>
        <v/>
      </c>
      <c r="G90" s="10" t="str">
        <f t="shared" si="1"/>
        <v/>
      </c>
    </row>
    <row r="91">
      <c r="D91" s="10"/>
      <c r="E91" s="10"/>
      <c r="F91" s="10" t="str">
        <f>IF(A91="", "", SUMIF(Income!B:B, A91, Income!F:F))</f>
        <v/>
      </c>
      <c r="G91" s="10" t="str">
        <f t="shared" si="1"/>
        <v/>
      </c>
    </row>
    <row r="92">
      <c r="D92" s="10"/>
      <c r="E92" s="10"/>
      <c r="F92" s="10" t="str">
        <f>IF(A92="", "", SUMIF(Income!B:B, A92, Income!F:F))</f>
        <v/>
      </c>
      <c r="G92" s="10" t="str">
        <f t="shared" si="1"/>
        <v/>
      </c>
    </row>
    <row r="93">
      <c r="D93" s="10"/>
      <c r="E93" s="10"/>
      <c r="F93" s="10" t="str">
        <f>IF(A93="", "", SUMIF(Income!B:B, A93, Income!F:F))</f>
        <v/>
      </c>
      <c r="G93" s="10" t="str">
        <f t="shared" si="1"/>
        <v/>
      </c>
    </row>
    <row r="94">
      <c r="D94" s="10"/>
      <c r="E94" s="10"/>
      <c r="F94" s="10" t="str">
        <f>IF(A94="", "", SUMIF(Income!B:B, A94, Income!F:F))</f>
        <v/>
      </c>
      <c r="G94" s="10" t="str">
        <f t="shared" si="1"/>
        <v/>
      </c>
    </row>
    <row r="95">
      <c r="D95" s="10"/>
      <c r="E95" s="10"/>
      <c r="F95" s="10" t="str">
        <f>IF(A95="", "", SUMIF(Income!B:B, A95, Income!F:F))</f>
        <v/>
      </c>
      <c r="G95" s="10" t="str">
        <f t="shared" si="1"/>
        <v/>
      </c>
    </row>
    <row r="96">
      <c r="D96" s="10"/>
      <c r="E96" s="10"/>
      <c r="F96" s="10" t="str">
        <f>IF(A96="", "", SUMIF(Income!B:B, A96, Income!F:F))</f>
        <v/>
      </c>
      <c r="G96" s="10" t="str">
        <f t="shared" si="1"/>
        <v/>
      </c>
    </row>
    <row r="97">
      <c r="D97" s="10"/>
      <c r="E97" s="10"/>
      <c r="F97" s="10" t="str">
        <f>IF(A97="", "", SUMIF(Income!B:B, A97, Income!F:F))</f>
        <v/>
      </c>
      <c r="G97" s="10" t="str">
        <f t="shared" si="1"/>
        <v/>
      </c>
    </row>
    <row r="98">
      <c r="D98" s="10"/>
      <c r="E98" s="10"/>
      <c r="F98" s="10" t="str">
        <f>IF(A98="", "", SUMIF(Income!B:B, A98, Income!F:F))</f>
        <v/>
      </c>
      <c r="G98" s="10" t="str">
        <f t="shared" si="1"/>
        <v/>
      </c>
    </row>
    <row r="99">
      <c r="D99" s="10"/>
      <c r="E99" s="10"/>
      <c r="F99" s="10" t="str">
        <f>IF(A99="", "", SUMIF(Income!B:B, A99, Income!F:F))</f>
        <v/>
      </c>
      <c r="G99" s="10" t="str">
        <f t="shared" si="1"/>
        <v/>
      </c>
    </row>
    <row r="100">
      <c r="D100" s="10"/>
      <c r="E100" s="10"/>
      <c r="F100" s="10" t="str">
        <f>IF(A100="", "", SUMIF(Income!B:B, A100, Income!F:F))</f>
        <v/>
      </c>
      <c r="G100" s="10" t="str">
        <f t="shared" si="1"/>
        <v/>
      </c>
    </row>
    <row r="101">
      <c r="D101" s="10"/>
      <c r="E101" s="10"/>
      <c r="F101" s="10" t="str">
        <f>IF(A101="", "", SUMIF(Income!B:B, A101, Income!F:F))</f>
        <v/>
      </c>
      <c r="G101" s="10" t="str">
        <f t="shared" si="1"/>
        <v/>
      </c>
    </row>
  </sheetData>
  <dataValidations>
    <dataValidation type="list" allowBlank="1" sqref="D2:D101">
      <formula1>"Self-Funded,Bank Loan"</formula1>
    </dataValidation>
    <dataValidation type="list" allowBlank="1" sqref="E4:E101">
      <formula1>Settings!$C$2:$C$10</formula1>
    </dataValidation>
    <dataValidation type="list" allowBlank="1" sqref="E2:E3">
      <formula1>Settings!$C$2:$C$22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294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</cols>
  <sheetData>
    <row r="1">
      <c r="A1" s="20" t="s">
        <v>36</v>
      </c>
      <c r="B1" s="20" t="s">
        <v>37</v>
      </c>
      <c r="C1" s="20" t="s">
        <v>8</v>
      </c>
      <c r="D1" s="20" t="s">
        <v>9</v>
      </c>
      <c r="E1" s="20" t="s">
        <v>38</v>
      </c>
      <c r="F1" s="20" t="s">
        <v>39</v>
      </c>
      <c r="G1" s="20" t="s">
        <v>40</v>
      </c>
      <c r="H1" s="20" t="s">
        <v>41</v>
      </c>
    </row>
    <row r="2">
      <c r="A2" s="21">
        <v>45952.0</v>
      </c>
      <c r="B2" s="19" t="s">
        <v>42</v>
      </c>
      <c r="C2" s="19" t="s">
        <v>31</v>
      </c>
      <c r="D2" s="19" t="str">
        <f>IFERROR(VLOOKUP(C2, 'Project Master'!A:B, 2, FALSE), "")</f>
        <v>Sareeta Prusty</v>
      </c>
      <c r="E2" s="19">
        <v>190476.2</v>
      </c>
      <c r="F2" s="10">
        <f t="shared" ref="F2:F1000" si="1">IF(E2="", "", E2*0.05)</f>
        <v>9523.81</v>
      </c>
      <c r="G2" s="10">
        <f>IF(E2="", "", ROUND(E2+F2,0))</f>
        <v>200000</v>
      </c>
    </row>
    <row r="3">
      <c r="A3" s="22"/>
      <c r="C3" s="10"/>
      <c r="D3" s="19" t="str">
        <f>IFERROR(VLOOKUP(C3, 'Project Master'!A:B, 2, FALSE), "")</f>
        <v/>
      </c>
      <c r="F3" s="10" t="str">
        <f t="shared" si="1"/>
        <v/>
      </c>
      <c r="G3" s="10" t="str">
        <f t="shared" ref="G3:G100" si="2">IF(E3="", "", E3+F3)</f>
        <v/>
      </c>
    </row>
    <row r="4">
      <c r="A4" s="22"/>
      <c r="C4" s="10"/>
      <c r="D4" s="19" t="str">
        <f>IFERROR(VLOOKUP(C4, 'Project Master'!A:B, 2, FALSE), "")</f>
        <v/>
      </c>
      <c r="F4" s="10" t="str">
        <f t="shared" si="1"/>
        <v/>
      </c>
      <c r="G4" s="10" t="str">
        <f t="shared" si="2"/>
        <v/>
      </c>
    </row>
    <row r="5">
      <c r="A5" s="22"/>
      <c r="C5" s="10"/>
      <c r="D5" s="19" t="str">
        <f>IFERROR(VLOOKUP(C5, 'Project Master'!A:B, 2, FALSE), "")</f>
        <v/>
      </c>
      <c r="F5" s="10" t="str">
        <f t="shared" si="1"/>
        <v/>
      </c>
      <c r="G5" s="10" t="str">
        <f t="shared" si="2"/>
        <v/>
      </c>
    </row>
    <row r="6">
      <c r="A6" s="22"/>
      <c r="C6" s="10"/>
      <c r="D6" s="19" t="str">
        <f>IFERROR(VLOOKUP(C6, 'Project Master'!A:B, 2, FALSE), "")</f>
        <v/>
      </c>
      <c r="F6" s="10" t="str">
        <f t="shared" si="1"/>
        <v/>
      </c>
      <c r="G6" s="10" t="str">
        <f t="shared" si="2"/>
        <v/>
      </c>
    </row>
    <row r="7">
      <c r="A7" s="22"/>
      <c r="C7" s="10"/>
      <c r="D7" s="19" t="str">
        <f>IFERROR(VLOOKUP(C7, 'Project Master'!A:B, 2, FALSE), "")</f>
        <v/>
      </c>
      <c r="F7" s="10" t="str">
        <f t="shared" si="1"/>
        <v/>
      </c>
      <c r="G7" s="10" t="str">
        <f t="shared" si="2"/>
        <v/>
      </c>
    </row>
    <row r="8">
      <c r="A8" s="22"/>
      <c r="C8" s="10"/>
      <c r="D8" s="19" t="str">
        <f>IFERROR(VLOOKUP(C8, 'Project Master'!A:B, 2, FALSE), "")</f>
        <v/>
      </c>
      <c r="F8" s="10" t="str">
        <f t="shared" si="1"/>
        <v/>
      </c>
      <c r="G8" s="10" t="str">
        <f t="shared" si="2"/>
        <v/>
      </c>
    </row>
    <row r="9">
      <c r="A9" s="22"/>
      <c r="C9" s="10"/>
      <c r="D9" s="19" t="str">
        <f>IFERROR(VLOOKUP(C9, 'Project Master'!A:B, 2, FALSE), "")</f>
        <v/>
      </c>
      <c r="F9" s="10" t="str">
        <f t="shared" si="1"/>
        <v/>
      </c>
      <c r="G9" s="10" t="str">
        <f t="shared" si="2"/>
        <v/>
      </c>
    </row>
    <row r="10">
      <c r="A10" s="22"/>
      <c r="C10" s="10"/>
      <c r="D10" s="19" t="str">
        <f>IFERROR(VLOOKUP(C10, 'Project Master'!A:B, 2, FALSE), "")</f>
        <v/>
      </c>
      <c r="F10" s="10" t="str">
        <f t="shared" si="1"/>
        <v/>
      </c>
      <c r="G10" s="10" t="str">
        <f t="shared" si="2"/>
        <v/>
      </c>
    </row>
    <row r="11">
      <c r="A11" s="22"/>
      <c r="C11" s="10"/>
      <c r="D11" s="19" t="str">
        <f>IFERROR(VLOOKUP(C11, 'Project Master'!A:B, 2, FALSE), "")</f>
        <v/>
      </c>
      <c r="F11" s="10" t="str">
        <f t="shared" si="1"/>
        <v/>
      </c>
      <c r="G11" s="10" t="str">
        <f t="shared" si="2"/>
        <v/>
      </c>
    </row>
    <row r="12">
      <c r="A12" s="22"/>
      <c r="C12" s="10"/>
      <c r="D12" s="19" t="str">
        <f>IFERROR(VLOOKUP(C12, 'Project Master'!A:B, 2, FALSE), "")</f>
        <v/>
      </c>
      <c r="F12" s="10" t="str">
        <f t="shared" si="1"/>
        <v/>
      </c>
      <c r="G12" s="10" t="str">
        <f t="shared" si="2"/>
        <v/>
      </c>
    </row>
    <row r="13">
      <c r="A13" s="22"/>
      <c r="C13" s="10"/>
      <c r="D13" s="19" t="str">
        <f>IFERROR(VLOOKUP(C13, 'Project Master'!A:B, 2, FALSE), "")</f>
        <v/>
      </c>
      <c r="F13" s="10" t="str">
        <f t="shared" si="1"/>
        <v/>
      </c>
      <c r="G13" s="10" t="str">
        <f t="shared" si="2"/>
        <v/>
      </c>
    </row>
    <row r="14">
      <c r="A14" s="22"/>
      <c r="C14" s="10"/>
      <c r="D14" s="19" t="str">
        <f>IFERROR(VLOOKUP(C14, 'Project Master'!A:B, 2, FALSE), "")</f>
        <v/>
      </c>
      <c r="F14" s="10" t="str">
        <f t="shared" si="1"/>
        <v/>
      </c>
      <c r="G14" s="10" t="str">
        <f t="shared" si="2"/>
        <v/>
      </c>
    </row>
    <row r="15">
      <c r="A15" s="22"/>
      <c r="C15" s="10"/>
      <c r="D15" s="19" t="str">
        <f>IFERROR(VLOOKUP(C15, 'Project Master'!A:B, 2, FALSE), "")</f>
        <v/>
      </c>
      <c r="F15" s="10" t="str">
        <f t="shared" si="1"/>
        <v/>
      </c>
      <c r="G15" s="10" t="str">
        <f t="shared" si="2"/>
        <v/>
      </c>
    </row>
    <row r="16">
      <c r="A16" s="22"/>
      <c r="C16" s="10"/>
      <c r="D16" s="19" t="str">
        <f>IFERROR(VLOOKUP(C16, 'Project Master'!A:B, 2, FALSE), "")</f>
        <v/>
      </c>
      <c r="F16" s="10" t="str">
        <f t="shared" si="1"/>
        <v/>
      </c>
      <c r="G16" s="10" t="str">
        <f t="shared" si="2"/>
        <v/>
      </c>
    </row>
    <row r="17">
      <c r="A17" s="22"/>
      <c r="C17" s="10"/>
      <c r="D17" s="19" t="str">
        <f>IFERROR(VLOOKUP(C17, 'Project Master'!A:B, 2, FALSE), "")</f>
        <v/>
      </c>
      <c r="F17" s="10" t="str">
        <f t="shared" si="1"/>
        <v/>
      </c>
      <c r="G17" s="10" t="str">
        <f t="shared" si="2"/>
        <v/>
      </c>
    </row>
    <row r="18">
      <c r="A18" s="22"/>
      <c r="C18" s="10"/>
      <c r="D18" s="19" t="str">
        <f>IFERROR(VLOOKUP(C18, 'Project Master'!A:B, 2, FALSE), "")</f>
        <v/>
      </c>
      <c r="F18" s="10" t="str">
        <f t="shared" si="1"/>
        <v/>
      </c>
      <c r="G18" s="10" t="str">
        <f t="shared" si="2"/>
        <v/>
      </c>
    </row>
    <row r="19">
      <c r="A19" s="22"/>
      <c r="C19" s="10"/>
      <c r="D19" s="19" t="str">
        <f>IFERROR(VLOOKUP(C19, 'Project Master'!A:B, 2, FALSE), "")</f>
        <v/>
      </c>
      <c r="F19" s="10" t="str">
        <f t="shared" si="1"/>
        <v/>
      </c>
      <c r="G19" s="10" t="str">
        <f t="shared" si="2"/>
        <v/>
      </c>
    </row>
    <row r="20">
      <c r="A20" s="22"/>
      <c r="C20" s="10"/>
      <c r="D20" s="19" t="str">
        <f>IFERROR(VLOOKUP(C20, 'Project Master'!A:B, 2, FALSE), "")</f>
        <v/>
      </c>
      <c r="F20" s="10" t="str">
        <f t="shared" si="1"/>
        <v/>
      </c>
      <c r="G20" s="10" t="str">
        <f t="shared" si="2"/>
        <v/>
      </c>
    </row>
    <row r="21">
      <c r="A21" s="22"/>
      <c r="C21" s="10"/>
      <c r="D21" s="19" t="str">
        <f>IFERROR(VLOOKUP(C21, 'Project Master'!A:B, 2, FALSE), "")</f>
        <v/>
      </c>
      <c r="F21" s="10" t="str">
        <f t="shared" si="1"/>
        <v/>
      </c>
      <c r="G21" s="10" t="str">
        <f t="shared" si="2"/>
        <v/>
      </c>
    </row>
    <row r="22">
      <c r="A22" s="22"/>
      <c r="C22" s="10"/>
      <c r="D22" s="19" t="str">
        <f>IFERROR(VLOOKUP(C22, 'Project Master'!A:B, 2, FALSE), "")</f>
        <v/>
      </c>
      <c r="F22" s="10" t="str">
        <f t="shared" si="1"/>
        <v/>
      </c>
      <c r="G22" s="10" t="str">
        <f t="shared" si="2"/>
        <v/>
      </c>
    </row>
    <row r="23">
      <c r="A23" s="22"/>
      <c r="C23" s="10"/>
      <c r="D23" s="19" t="str">
        <f>IFERROR(VLOOKUP(C23, 'Project Master'!A:B, 2, FALSE), "")</f>
        <v/>
      </c>
      <c r="F23" s="10" t="str">
        <f t="shared" si="1"/>
        <v/>
      </c>
      <c r="G23" s="10" t="str">
        <f t="shared" si="2"/>
        <v/>
      </c>
    </row>
    <row r="24">
      <c r="A24" s="22"/>
      <c r="C24" s="10"/>
      <c r="D24" s="19" t="str">
        <f>IFERROR(VLOOKUP(C24, 'Project Master'!A:B, 2, FALSE), "")</f>
        <v/>
      </c>
      <c r="F24" s="10" t="str">
        <f t="shared" si="1"/>
        <v/>
      </c>
      <c r="G24" s="10" t="str">
        <f t="shared" si="2"/>
        <v/>
      </c>
    </row>
    <row r="25">
      <c r="A25" s="22"/>
      <c r="C25" s="10"/>
      <c r="D25" s="19" t="str">
        <f>IFERROR(VLOOKUP(C25, 'Project Master'!A:B, 2, FALSE), "")</f>
        <v/>
      </c>
      <c r="F25" s="10" t="str">
        <f t="shared" si="1"/>
        <v/>
      </c>
      <c r="G25" s="10" t="str">
        <f t="shared" si="2"/>
        <v/>
      </c>
    </row>
    <row r="26">
      <c r="A26" s="22"/>
      <c r="C26" s="10"/>
      <c r="D26" s="19" t="str">
        <f>IFERROR(VLOOKUP(C26, 'Project Master'!A:B, 2, FALSE), "")</f>
        <v/>
      </c>
      <c r="F26" s="10" t="str">
        <f t="shared" si="1"/>
        <v/>
      </c>
      <c r="G26" s="10" t="str">
        <f t="shared" si="2"/>
        <v/>
      </c>
    </row>
    <row r="27">
      <c r="A27" s="22"/>
      <c r="C27" s="10"/>
      <c r="D27" s="19" t="str">
        <f>IFERROR(VLOOKUP(C27, 'Project Master'!A:B, 2, FALSE), "")</f>
        <v/>
      </c>
      <c r="F27" s="10" t="str">
        <f t="shared" si="1"/>
        <v/>
      </c>
      <c r="G27" s="10" t="str">
        <f t="shared" si="2"/>
        <v/>
      </c>
    </row>
    <row r="28">
      <c r="A28" s="22"/>
      <c r="C28" s="10"/>
      <c r="D28" s="19" t="str">
        <f>IFERROR(VLOOKUP(C28, 'Project Master'!A:B, 2, FALSE), "")</f>
        <v/>
      </c>
      <c r="F28" s="10" t="str">
        <f t="shared" si="1"/>
        <v/>
      </c>
      <c r="G28" s="10" t="str">
        <f t="shared" si="2"/>
        <v/>
      </c>
    </row>
    <row r="29">
      <c r="A29" s="22"/>
      <c r="C29" s="10"/>
      <c r="D29" s="19" t="str">
        <f>IFERROR(VLOOKUP(C29, 'Project Master'!A:B, 2, FALSE), "")</f>
        <v/>
      </c>
      <c r="F29" s="10" t="str">
        <f t="shared" si="1"/>
        <v/>
      </c>
      <c r="G29" s="10" t="str">
        <f t="shared" si="2"/>
        <v/>
      </c>
    </row>
    <row r="30">
      <c r="A30" s="22"/>
      <c r="C30" s="10"/>
      <c r="D30" s="19" t="str">
        <f>IFERROR(VLOOKUP(C30, 'Project Master'!A:B, 2, FALSE), "")</f>
        <v/>
      </c>
      <c r="F30" s="10" t="str">
        <f t="shared" si="1"/>
        <v/>
      </c>
      <c r="G30" s="10" t="str">
        <f t="shared" si="2"/>
        <v/>
      </c>
    </row>
    <row r="31">
      <c r="A31" s="22"/>
      <c r="C31" s="10"/>
      <c r="D31" s="19" t="str">
        <f>IFERROR(VLOOKUP(C31, 'Project Master'!A:B, 2, FALSE), "")</f>
        <v/>
      </c>
      <c r="F31" s="10" t="str">
        <f t="shared" si="1"/>
        <v/>
      </c>
      <c r="G31" s="10" t="str">
        <f t="shared" si="2"/>
        <v/>
      </c>
    </row>
    <row r="32">
      <c r="A32" s="22"/>
      <c r="C32" s="10"/>
      <c r="D32" s="19" t="str">
        <f>IFERROR(VLOOKUP(C32, 'Project Master'!A:B, 2, FALSE), "")</f>
        <v/>
      </c>
      <c r="F32" s="10" t="str">
        <f t="shared" si="1"/>
        <v/>
      </c>
      <c r="G32" s="10" t="str">
        <f t="shared" si="2"/>
        <v/>
      </c>
    </row>
    <row r="33">
      <c r="A33" s="22"/>
      <c r="C33" s="10"/>
      <c r="D33" s="19" t="str">
        <f>IFERROR(VLOOKUP(C33, 'Project Master'!A:B, 2, FALSE), "")</f>
        <v/>
      </c>
      <c r="F33" s="10" t="str">
        <f t="shared" si="1"/>
        <v/>
      </c>
      <c r="G33" s="10" t="str">
        <f t="shared" si="2"/>
        <v/>
      </c>
    </row>
    <row r="34">
      <c r="A34" s="22"/>
      <c r="C34" s="10"/>
      <c r="D34" s="19" t="str">
        <f>IFERROR(VLOOKUP(C34, 'Project Master'!A:B, 2, FALSE), "")</f>
        <v/>
      </c>
      <c r="F34" s="10" t="str">
        <f t="shared" si="1"/>
        <v/>
      </c>
      <c r="G34" s="10" t="str">
        <f t="shared" si="2"/>
        <v/>
      </c>
    </row>
    <row r="35">
      <c r="A35" s="22"/>
      <c r="C35" s="10"/>
      <c r="D35" s="19" t="str">
        <f>IFERROR(VLOOKUP(C35, 'Project Master'!A:B, 2, FALSE), "")</f>
        <v/>
      </c>
      <c r="F35" s="10" t="str">
        <f t="shared" si="1"/>
        <v/>
      </c>
      <c r="G35" s="10" t="str">
        <f t="shared" si="2"/>
        <v/>
      </c>
    </row>
    <row r="36">
      <c r="A36" s="22"/>
      <c r="C36" s="10"/>
      <c r="D36" s="19" t="str">
        <f>IFERROR(VLOOKUP(C36, 'Project Master'!A:B, 2, FALSE), "")</f>
        <v/>
      </c>
      <c r="F36" s="10" t="str">
        <f t="shared" si="1"/>
        <v/>
      </c>
      <c r="G36" s="10" t="str">
        <f t="shared" si="2"/>
        <v/>
      </c>
    </row>
    <row r="37">
      <c r="A37" s="22"/>
      <c r="C37" s="10"/>
      <c r="D37" s="19" t="str">
        <f>IFERROR(VLOOKUP(C37, 'Project Master'!A:B, 2, FALSE), "")</f>
        <v/>
      </c>
      <c r="F37" s="10" t="str">
        <f t="shared" si="1"/>
        <v/>
      </c>
      <c r="G37" s="10" t="str">
        <f t="shared" si="2"/>
        <v/>
      </c>
    </row>
    <row r="38">
      <c r="A38" s="22"/>
      <c r="C38" s="10"/>
      <c r="D38" s="19" t="str">
        <f>IFERROR(VLOOKUP(C38, 'Project Master'!A:B, 2, FALSE), "")</f>
        <v/>
      </c>
      <c r="F38" s="10" t="str">
        <f t="shared" si="1"/>
        <v/>
      </c>
      <c r="G38" s="10" t="str">
        <f t="shared" si="2"/>
        <v/>
      </c>
    </row>
    <row r="39">
      <c r="A39" s="22"/>
      <c r="C39" s="10"/>
      <c r="D39" s="19" t="str">
        <f>IFERROR(VLOOKUP(C39, 'Project Master'!A:B, 2, FALSE), "")</f>
        <v/>
      </c>
      <c r="F39" s="10" t="str">
        <f t="shared" si="1"/>
        <v/>
      </c>
      <c r="G39" s="10" t="str">
        <f t="shared" si="2"/>
        <v/>
      </c>
    </row>
    <row r="40">
      <c r="A40" s="22"/>
      <c r="C40" s="10"/>
      <c r="D40" s="19" t="str">
        <f>IFERROR(VLOOKUP(C40, 'Project Master'!A:B, 2, FALSE), "")</f>
        <v/>
      </c>
      <c r="F40" s="10" t="str">
        <f t="shared" si="1"/>
        <v/>
      </c>
      <c r="G40" s="10" t="str">
        <f t="shared" si="2"/>
        <v/>
      </c>
    </row>
    <row r="41">
      <c r="A41" s="22"/>
      <c r="C41" s="10"/>
      <c r="D41" s="19" t="str">
        <f>IFERROR(VLOOKUP(C41, 'Project Master'!A:B, 2, FALSE), "")</f>
        <v/>
      </c>
      <c r="F41" s="10" t="str">
        <f t="shared" si="1"/>
        <v/>
      </c>
      <c r="G41" s="10" t="str">
        <f t="shared" si="2"/>
        <v/>
      </c>
    </row>
    <row r="42">
      <c r="A42" s="22"/>
      <c r="C42" s="10"/>
      <c r="D42" s="19" t="str">
        <f>IFERROR(VLOOKUP(C42, 'Project Master'!A:B, 2, FALSE), "")</f>
        <v/>
      </c>
      <c r="F42" s="10" t="str">
        <f t="shared" si="1"/>
        <v/>
      </c>
      <c r="G42" s="10" t="str">
        <f t="shared" si="2"/>
        <v/>
      </c>
    </row>
    <row r="43">
      <c r="A43" s="22"/>
      <c r="C43" s="10"/>
      <c r="D43" s="19" t="str">
        <f>IFERROR(VLOOKUP(C43, 'Project Master'!A:B, 2, FALSE), "")</f>
        <v/>
      </c>
      <c r="F43" s="10" t="str">
        <f t="shared" si="1"/>
        <v/>
      </c>
      <c r="G43" s="10" t="str">
        <f t="shared" si="2"/>
        <v/>
      </c>
    </row>
    <row r="44">
      <c r="A44" s="22"/>
      <c r="C44" s="10"/>
      <c r="D44" s="19" t="str">
        <f>IFERROR(VLOOKUP(C44, 'Project Master'!A:B, 2, FALSE), "")</f>
        <v/>
      </c>
      <c r="F44" s="10" t="str">
        <f t="shared" si="1"/>
        <v/>
      </c>
      <c r="G44" s="10" t="str">
        <f t="shared" si="2"/>
        <v/>
      </c>
    </row>
    <row r="45">
      <c r="A45" s="22"/>
      <c r="C45" s="10"/>
      <c r="D45" s="19" t="str">
        <f>IFERROR(VLOOKUP(C45, 'Project Master'!A:B, 2, FALSE), "")</f>
        <v/>
      </c>
      <c r="F45" s="10" t="str">
        <f t="shared" si="1"/>
        <v/>
      </c>
      <c r="G45" s="10" t="str">
        <f t="shared" si="2"/>
        <v/>
      </c>
    </row>
    <row r="46">
      <c r="A46" s="22"/>
      <c r="C46" s="10"/>
      <c r="D46" s="19" t="str">
        <f>IFERROR(VLOOKUP(C46, 'Project Master'!A:B, 2, FALSE), "")</f>
        <v/>
      </c>
      <c r="F46" s="10" t="str">
        <f t="shared" si="1"/>
        <v/>
      </c>
      <c r="G46" s="10" t="str">
        <f t="shared" si="2"/>
        <v/>
      </c>
    </row>
    <row r="47">
      <c r="A47" s="22"/>
      <c r="C47" s="10"/>
      <c r="D47" s="19" t="str">
        <f>IFERROR(VLOOKUP(C47, 'Project Master'!A:B, 2, FALSE), "")</f>
        <v/>
      </c>
      <c r="F47" s="10" t="str">
        <f t="shared" si="1"/>
        <v/>
      </c>
      <c r="G47" s="10" t="str">
        <f t="shared" si="2"/>
        <v/>
      </c>
    </row>
    <row r="48">
      <c r="A48" s="22"/>
      <c r="C48" s="10"/>
      <c r="D48" s="19" t="str">
        <f>IFERROR(VLOOKUP(C48, 'Project Master'!A:B, 2, FALSE), "")</f>
        <v/>
      </c>
      <c r="F48" s="10" t="str">
        <f t="shared" si="1"/>
        <v/>
      </c>
      <c r="G48" s="10" t="str">
        <f t="shared" si="2"/>
        <v/>
      </c>
    </row>
    <row r="49">
      <c r="A49" s="22"/>
      <c r="C49" s="10"/>
      <c r="D49" s="19" t="str">
        <f>IFERROR(VLOOKUP(C49, 'Project Master'!A:B, 2, FALSE), "")</f>
        <v/>
      </c>
      <c r="F49" s="10" t="str">
        <f t="shared" si="1"/>
        <v/>
      </c>
      <c r="G49" s="10" t="str">
        <f t="shared" si="2"/>
        <v/>
      </c>
    </row>
    <row r="50">
      <c r="A50" s="22"/>
      <c r="C50" s="10"/>
      <c r="D50" s="19" t="str">
        <f>IFERROR(VLOOKUP(C50, 'Project Master'!A:B, 2, FALSE), "")</f>
        <v/>
      </c>
      <c r="F50" s="10" t="str">
        <f t="shared" si="1"/>
        <v/>
      </c>
      <c r="G50" s="10" t="str">
        <f t="shared" si="2"/>
        <v/>
      </c>
    </row>
    <row r="51">
      <c r="A51" s="22"/>
      <c r="C51" s="10"/>
      <c r="D51" s="19" t="str">
        <f>IFERROR(VLOOKUP(C51, 'Project Master'!A:B, 2, FALSE), "")</f>
        <v/>
      </c>
      <c r="F51" s="10" t="str">
        <f t="shared" si="1"/>
        <v/>
      </c>
      <c r="G51" s="10" t="str">
        <f t="shared" si="2"/>
        <v/>
      </c>
    </row>
    <row r="52">
      <c r="A52" s="22"/>
      <c r="C52" s="10"/>
      <c r="D52" s="19" t="str">
        <f>IFERROR(VLOOKUP(C52, 'Project Master'!A:B, 2, FALSE), "")</f>
        <v/>
      </c>
      <c r="F52" s="10" t="str">
        <f t="shared" si="1"/>
        <v/>
      </c>
      <c r="G52" s="10" t="str">
        <f t="shared" si="2"/>
        <v/>
      </c>
    </row>
    <row r="53">
      <c r="A53" s="22"/>
      <c r="C53" s="10"/>
      <c r="D53" s="19" t="str">
        <f>IFERROR(VLOOKUP(C53, 'Project Master'!A:B, 2, FALSE), "")</f>
        <v/>
      </c>
      <c r="F53" s="10" t="str">
        <f t="shared" si="1"/>
        <v/>
      </c>
      <c r="G53" s="10" t="str">
        <f t="shared" si="2"/>
        <v/>
      </c>
    </row>
    <row r="54">
      <c r="A54" s="22"/>
      <c r="C54" s="10"/>
      <c r="D54" s="19" t="str">
        <f>IFERROR(VLOOKUP(C54, 'Project Master'!A:B, 2, FALSE), "")</f>
        <v/>
      </c>
      <c r="F54" s="10" t="str">
        <f t="shared" si="1"/>
        <v/>
      </c>
      <c r="G54" s="10" t="str">
        <f t="shared" si="2"/>
        <v/>
      </c>
    </row>
    <row r="55">
      <c r="A55" s="22"/>
      <c r="C55" s="10"/>
      <c r="D55" s="19" t="str">
        <f>IFERROR(VLOOKUP(C55, 'Project Master'!A:B, 2, FALSE), "")</f>
        <v/>
      </c>
      <c r="F55" s="10" t="str">
        <f t="shared" si="1"/>
        <v/>
      </c>
      <c r="G55" s="10" t="str">
        <f t="shared" si="2"/>
        <v/>
      </c>
    </row>
    <row r="56">
      <c r="A56" s="22"/>
      <c r="C56" s="10"/>
      <c r="D56" s="19" t="str">
        <f>IFERROR(VLOOKUP(C56, 'Project Master'!A:B, 2, FALSE), "")</f>
        <v/>
      </c>
      <c r="F56" s="10" t="str">
        <f t="shared" si="1"/>
        <v/>
      </c>
      <c r="G56" s="10" t="str">
        <f t="shared" si="2"/>
        <v/>
      </c>
    </row>
    <row r="57">
      <c r="A57" s="22"/>
      <c r="C57" s="10"/>
      <c r="D57" s="19" t="str">
        <f>IFERROR(VLOOKUP(C57, 'Project Master'!A:B, 2, FALSE), "")</f>
        <v/>
      </c>
      <c r="F57" s="10" t="str">
        <f t="shared" si="1"/>
        <v/>
      </c>
      <c r="G57" s="10" t="str">
        <f t="shared" si="2"/>
        <v/>
      </c>
    </row>
    <row r="58">
      <c r="A58" s="22"/>
      <c r="C58" s="10"/>
      <c r="D58" s="19" t="str">
        <f>IFERROR(VLOOKUP(C58, 'Project Master'!A:B, 2, FALSE), "")</f>
        <v/>
      </c>
      <c r="F58" s="10" t="str">
        <f t="shared" si="1"/>
        <v/>
      </c>
      <c r="G58" s="10" t="str">
        <f t="shared" si="2"/>
        <v/>
      </c>
    </row>
    <row r="59">
      <c r="A59" s="22"/>
      <c r="C59" s="10"/>
      <c r="D59" s="19" t="str">
        <f>IFERROR(VLOOKUP(C59, 'Project Master'!A:B, 2, FALSE), "")</f>
        <v/>
      </c>
      <c r="F59" s="10" t="str">
        <f t="shared" si="1"/>
        <v/>
      </c>
      <c r="G59" s="10" t="str">
        <f t="shared" si="2"/>
        <v/>
      </c>
    </row>
    <row r="60">
      <c r="A60" s="22"/>
      <c r="C60" s="10"/>
      <c r="D60" s="19" t="str">
        <f>IFERROR(VLOOKUP(C60, 'Project Master'!A:B, 2, FALSE), "")</f>
        <v/>
      </c>
      <c r="F60" s="10" t="str">
        <f t="shared" si="1"/>
        <v/>
      </c>
      <c r="G60" s="10" t="str">
        <f t="shared" si="2"/>
        <v/>
      </c>
    </row>
    <row r="61">
      <c r="A61" s="22"/>
      <c r="C61" s="10"/>
      <c r="D61" s="19" t="str">
        <f>IFERROR(VLOOKUP(C61, 'Project Master'!A:B, 2, FALSE), "")</f>
        <v/>
      </c>
      <c r="F61" s="10" t="str">
        <f t="shared" si="1"/>
        <v/>
      </c>
      <c r="G61" s="10" t="str">
        <f t="shared" si="2"/>
        <v/>
      </c>
    </row>
    <row r="62">
      <c r="A62" s="22"/>
      <c r="C62" s="10"/>
      <c r="D62" s="19" t="str">
        <f>IFERROR(VLOOKUP(C62, 'Project Master'!A:B, 2, FALSE), "")</f>
        <v/>
      </c>
      <c r="F62" s="10" t="str">
        <f t="shared" si="1"/>
        <v/>
      </c>
      <c r="G62" s="10" t="str">
        <f t="shared" si="2"/>
        <v/>
      </c>
    </row>
    <row r="63">
      <c r="A63" s="22"/>
      <c r="C63" s="10"/>
      <c r="D63" s="19" t="str">
        <f>IFERROR(VLOOKUP(C63, 'Project Master'!A:B, 2, FALSE), "")</f>
        <v/>
      </c>
      <c r="F63" s="10" t="str">
        <f t="shared" si="1"/>
        <v/>
      </c>
      <c r="G63" s="10" t="str">
        <f t="shared" si="2"/>
        <v/>
      </c>
    </row>
    <row r="64">
      <c r="A64" s="22"/>
      <c r="C64" s="10"/>
      <c r="D64" s="19" t="str">
        <f>IFERROR(VLOOKUP(C64, 'Project Master'!A:B, 2, FALSE), "")</f>
        <v/>
      </c>
      <c r="F64" s="10" t="str">
        <f t="shared" si="1"/>
        <v/>
      </c>
      <c r="G64" s="10" t="str">
        <f t="shared" si="2"/>
        <v/>
      </c>
    </row>
    <row r="65">
      <c r="A65" s="22"/>
      <c r="C65" s="10"/>
      <c r="D65" s="19" t="str">
        <f>IFERROR(VLOOKUP(C65, 'Project Master'!A:B, 2, FALSE), "")</f>
        <v/>
      </c>
      <c r="F65" s="10" t="str">
        <f t="shared" si="1"/>
        <v/>
      </c>
      <c r="G65" s="10" t="str">
        <f t="shared" si="2"/>
        <v/>
      </c>
    </row>
    <row r="66">
      <c r="A66" s="22"/>
      <c r="C66" s="10"/>
      <c r="D66" s="19" t="str">
        <f>IFERROR(VLOOKUP(C66, 'Project Master'!A:B, 2, FALSE), "")</f>
        <v/>
      </c>
      <c r="F66" s="10" t="str">
        <f t="shared" si="1"/>
        <v/>
      </c>
      <c r="G66" s="10" t="str">
        <f t="shared" si="2"/>
        <v/>
      </c>
    </row>
    <row r="67">
      <c r="A67" s="22"/>
      <c r="C67" s="10"/>
      <c r="D67" s="19" t="str">
        <f>IFERROR(VLOOKUP(C67, 'Project Master'!A:B, 2, FALSE), "")</f>
        <v/>
      </c>
      <c r="F67" s="10" t="str">
        <f t="shared" si="1"/>
        <v/>
      </c>
      <c r="G67" s="10" t="str">
        <f t="shared" si="2"/>
        <v/>
      </c>
    </row>
    <row r="68">
      <c r="A68" s="22"/>
      <c r="C68" s="10"/>
      <c r="D68" s="19" t="str">
        <f>IFERROR(VLOOKUP(C68, 'Project Master'!A:B, 2, FALSE), "")</f>
        <v/>
      </c>
      <c r="F68" s="10" t="str">
        <f t="shared" si="1"/>
        <v/>
      </c>
      <c r="G68" s="10" t="str">
        <f t="shared" si="2"/>
        <v/>
      </c>
    </row>
    <row r="69">
      <c r="A69" s="22"/>
      <c r="C69" s="10"/>
      <c r="D69" s="19" t="str">
        <f>IFERROR(VLOOKUP(C69, 'Project Master'!A:B, 2, FALSE), "")</f>
        <v/>
      </c>
      <c r="F69" s="10" t="str">
        <f t="shared" si="1"/>
        <v/>
      </c>
      <c r="G69" s="10" t="str">
        <f t="shared" si="2"/>
        <v/>
      </c>
    </row>
    <row r="70">
      <c r="A70" s="22"/>
      <c r="C70" s="10"/>
      <c r="D70" s="19" t="str">
        <f>IFERROR(VLOOKUP(C70, 'Project Master'!A:B, 2, FALSE), "")</f>
        <v/>
      </c>
      <c r="F70" s="10" t="str">
        <f t="shared" si="1"/>
        <v/>
      </c>
      <c r="G70" s="10" t="str">
        <f t="shared" si="2"/>
        <v/>
      </c>
    </row>
    <row r="71">
      <c r="A71" s="22"/>
      <c r="C71" s="10"/>
      <c r="D71" s="19" t="str">
        <f>IFERROR(VLOOKUP(C71, 'Project Master'!A:B, 2, FALSE), "")</f>
        <v/>
      </c>
      <c r="F71" s="10" t="str">
        <f t="shared" si="1"/>
        <v/>
      </c>
      <c r="G71" s="10" t="str">
        <f t="shared" si="2"/>
        <v/>
      </c>
    </row>
    <row r="72">
      <c r="A72" s="22"/>
      <c r="C72" s="10"/>
      <c r="D72" s="19" t="str">
        <f>IFERROR(VLOOKUP(C72, 'Project Master'!A:B, 2, FALSE), "")</f>
        <v/>
      </c>
      <c r="F72" s="10" t="str">
        <f t="shared" si="1"/>
        <v/>
      </c>
      <c r="G72" s="10" t="str">
        <f t="shared" si="2"/>
        <v/>
      </c>
    </row>
    <row r="73">
      <c r="A73" s="22"/>
      <c r="C73" s="10"/>
      <c r="D73" s="19" t="str">
        <f>IFERROR(VLOOKUP(C73, 'Project Master'!A:B, 2, FALSE), "")</f>
        <v/>
      </c>
      <c r="F73" s="10" t="str">
        <f t="shared" si="1"/>
        <v/>
      </c>
      <c r="G73" s="10" t="str">
        <f t="shared" si="2"/>
        <v/>
      </c>
    </row>
    <row r="74">
      <c r="A74" s="22"/>
      <c r="C74" s="10"/>
      <c r="D74" s="19" t="str">
        <f>IFERROR(VLOOKUP(C74, 'Project Master'!A:B, 2, FALSE), "")</f>
        <v/>
      </c>
      <c r="F74" s="10" t="str">
        <f t="shared" si="1"/>
        <v/>
      </c>
      <c r="G74" s="10" t="str">
        <f t="shared" si="2"/>
        <v/>
      </c>
    </row>
    <row r="75">
      <c r="A75" s="22"/>
      <c r="C75" s="10"/>
      <c r="D75" s="19" t="str">
        <f>IFERROR(VLOOKUP(C75, 'Project Master'!A:B, 2, FALSE), "")</f>
        <v/>
      </c>
      <c r="F75" s="10" t="str">
        <f t="shared" si="1"/>
        <v/>
      </c>
      <c r="G75" s="10" t="str">
        <f t="shared" si="2"/>
        <v/>
      </c>
    </row>
    <row r="76">
      <c r="A76" s="22"/>
      <c r="C76" s="10"/>
      <c r="D76" s="19" t="str">
        <f>IFERROR(VLOOKUP(C76, 'Project Master'!A:B, 2, FALSE), "")</f>
        <v/>
      </c>
      <c r="F76" s="10" t="str">
        <f t="shared" si="1"/>
        <v/>
      </c>
      <c r="G76" s="10" t="str">
        <f t="shared" si="2"/>
        <v/>
      </c>
    </row>
    <row r="77">
      <c r="A77" s="22"/>
      <c r="C77" s="10"/>
      <c r="D77" s="19" t="str">
        <f>IFERROR(VLOOKUP(C77, 'Project Master'!A:B, 2, FALSE), "")</f>
        <v/>
      </c>
      <c r="F77" s="10" t="str">
        <f t="shared" si="1"/>
        <v/>
      </c>
      <c r="G77" s="10" t="str">
        <f t="shared" si="2"/>
        <v/>
      </c>
    </row>
    <row r="78">
      <c r="A78" s="22"/>
      <c r="C78" s="10"/>
      <c r="D78" s="19" t="str">
        <f>IFERROR(VLOOKUP(C78, 'Project Master'!A:B, 2, FALSE), "")</f>
        <v/>
      </c>
      <c r="F78" s="10" t="str">
        <f t="shared" si="1"/>
        <v/>
      </c>
      <c r="G78" s="10" t="str">
        <f t="shared" si="2"/>
        <v/>
      </c>
    </row>
    <row r="79">
      <c r="A79" s="22"/>
      <c r="C79" s="10"/>
      <c r="D79" s="19" t="str">
        <f>IFERROR(VLOOKUP(C79, 'Project Master'!A:B, 2, FALSE), "")</f>
        <v/>
      </c>
      <c r="F79" s="10" t="str">
        <f t="shared" si="1"/>
        <v/>
      </c>
      <c r="G79" s="10" t="str">
        <f t="shared" si="2"/>
        <v/>
      </c>
    </row>
    <row r="80">
      <c r="A80" s="22"/>
      <c r="C80" s="10"/>
      <c r="D80" s="19" t="str">
        <f>IFERROR(VLOOKUP(C80, 'Project Master'!A:B, 2, FALSE), "")</f>
        <v/>
      </c>
      <c r="F80" s="10" t="str">
        <f t="shared" si="1"/>
        <v/>
      </c>
      <c r="G80" s="10" t="str">
        <f t="shared" si="2"/>
        <v/>
      </c>
    </row>
    <row r="81">
      <c r="A81" s="22"/>
      <c r="C81" s="10"/>
      <c r="D81" s="19" t="str">
        <f>IFERROR(VLOOKUP(C81, 'Project Master'!A:B, 2, FALSE), "")</f>
        <v/>
      </c>
      <c r="F81" s="10" t="str">
        <f t="shared" si="1"/>
        <v/>
      </c>
      <c r="G81" s="10" t="str">
        <f t="shared" si="2"/>
        <v/>
      </c>
    </row>
    <row r="82">
      <c r="A82" s="22"/>
      <c r="C82" s="10"/>
      <c r="D82" s="19" t="str">
        <f>IFERROR(VLOOKUP(C82, 'Project Master'!A:B, 2, FALSE), "")</f>
        <v/>
      </c>
      <c r="F82" s="10" t="str">
        <f t="shared" si="1"/>
        <v/>
      </c>
      <c r="G82" s="10" t="str">
        <f t="shared" si="2"/>
        <v/>
      </c>
    </row>
    <row r="83">
      <c r="A83" s="22"/>
      <c r="C83" s="10"/>
      <c r="D83" s="19" t="str">
        <f>IFERROR(VLOOKUP(C83, 'Project Master'!A:B, 2, FALSE), "")</f>
        <v/>
      </c>
      <c r="F83" s="10" t="str">
        <f t="shared" si="1"/>
        <v/>
      </c>
      <c r="G83" s="10" t="str">
        <f t="shared" si="2"/>
        <v/>
      </c>
    </row>
    <row r="84">
      <c r="A84" s="22"/>
      <c r="C84" s="10"/>
      <c r="D84" s="19" t="str">
        <f>IFERROR(VLOOKUP(C84, 'Project Master'!A:B, 2, FALSE), "")</f>
        <v/>
      </c>
      <c r="F84" s="10" t="str">
        <f t="shared" si="1"/>
        <v/>
      </c>
      <c r="G84" s="10" t="str">
        <f t="shared" si="2"/>
        <v/>
      </c>
    </row>
    <row r="85">
      <c r="A85" s="22"/>
      <c r="C85" s="10"/>
      <c r="D85" s="19" t="str">
        <f>IFERROR(VLOOKUP(C85, 'Project Master'!A:B, 2, FALSE), "")</f>
        <v/>
      </c>
      <c r="F85" s="10" t="str">
        <f t="shared" si="1"/>
        <v/>
      </c>
      <c r="G85" s="10" t="str">
        <f t="shared" si="2"/>
        <v/>
      </c>
    </row>
    <row r="86">
      <c r="A86" s="22"/>
      <c r="C86" s="10"/>
      <c r="D86" s="19" t="str">
        <f>IFERROR(VLOOKUP(C86, 'Project Master'!A:B, 2, FALSE), "")</f>
        <v/>
      </c>
      <c r="F86" s="10" t="str">
        <f t="shared" si="1"/>
        <v/>
      </c>
      <c r="G86" s="10" t="str">
        <f t="shared" si="2"/>
        <v/>
      </c>
    </row>
    <row r="87">
      <c r="A87" s="22"/>
      <c r="C87" s="10"/>
      <c r="D87" s="19" t="str">
        <f>IFERROR(VLOOKUP(C87, 'Project Master'!A:B, 2, FALSE), "")</f>
        <v/>
      </c>
      <c r="F87" s="10" t="str">
        <f t="shared" si="1"/>
        <v/>
      </c>
      <c r="G87" s="10" t="str">
        <f t="shared" si="2"/>
        <v/>
      </c>
    </row>
    <row r="88">
      <c r="A88" s="22"/>
      <c r="C88" s="10"/>
      <c r="D88" s="19" t="str">
        <f>IFERROR(VLOOKUP(C88, 'Project Master'!A:B, 2, FALSE), "")</f>
        <v/>
      </c>
      <c r="F88" s="10" t="str">
        <f t="shared" si="1"/>
        <v/>
      </c>
      <c r="G88" s="10" t="str">
        <f t="shared" si="2"/>
        <v/>
      </c>
    </row>
    <row r="89">
      <c r="A89" s="22"/>
      <c r="C89" s="10"/>
      <c r="D89" s="19" t="str">
        <f>IFERROR(VLOOKUP(C89, 'Project Master'!A:B, 2, FALSE), "")</f>
        <v/>
      </c>
      <c r="F89" s="10" t="str">
        <f t="shared" si="1"/>
        <v/>
      </c>
      <c r="G89" s="10" t="str">
        <f t="shared" si="2"/>
        <v/>
      </c>
    </row>
    <row r="90">
      <c r="A90" s="22"/>
      <c r="C90" s="10"/>
      <c r="D90" s="19" t="str">
        <f>IFERROR(VLOOKUP(C90, 'Project Master'!A:B, 2, FALSE), "")</f>
        <v/>
      </c>
      <c r="F90" s="10" t="str">
        <f t="shared" si="1"/>
        <v/>
      </c>
      <c r="G90" s="10" t="str">
        <f t="shared" si="2"/>
        <v/>
      </c>
    </row>
    <row r="91">
      <c r="A91" s="22"/>
      <c r="C91" s="10"/>
      <c r="D91" s="19" t="str">
        <f>IFERROR(VLOOKUP(C91, 'Project Master'!A:B, 2, FALSE), "")</f>
        <v/>
      </c>
      <c r="F91" s="10" t="str">
        <f t="shared" si="1"/>
        <v/>
      </c>
      <c r="G91" s="10" t="str">
        <f t="shared" si="2"/>
        <v/>
      </c>
    </row>
    <row r="92">
      <c r="A92" s="22"/>
      <c r="C92" s="10"/>
      <c r="D92" s="19" t="str">
        <f>IFERROR(VLOOKUP(C92, 'Project Master'!A:B, 2, FALSE), "")</f>
        <v/>
      </c>
      <c r="F92" s="10" t="str">
        <f t="shared" si="1"/>
        <v/>
      </c>
      <c r="G92" s="10" t="str">
        <f t="shared" si="2"/>
        <v/>
      </c>
    </row>
    <row r="93">
      <c r="A93" s="22"/>
      <c r="C93" s="10"/>
      <c r="D93" s="19" t="str">
        <f>IFERROR(VLOOKUP(C93, 'Project Master'!A:B, 2, FALSE), "")</f>
        <v/>
      </c>
      <c r="F93" s="10" t="str">
        <f t="shared" si="1"/>
        <v/>
      </c>
      <c r="G93" s="10" t="str">
        <f t="shared" si="2"/>
        <v/>
      </c>
    </row>
    <row r="94">
      <c r="A94" s="22"/>
      <c r="C94" s="10"/>
      <c r="D94" s="19" t="str">
        <f>IFERROR(VLOOKUP(C94, 'Project Master'!A:B, 2, FALSE), "")</f>
        <v/>
      </c>
      <c r="F94" s="10" t="str">
        <f t="shared" si="1"/>
        <v/>
      </c>
      <c r="G94" s="10" t="str">
        <f t="shared" si="2"/>
        <v/>
      </c>
    </row>
    <row r="95">
      <c r="A95" s="22"/>
      <c r="C95" s="10"/>
      <c r="D95" s="19" t="str">
        <f>IFERROR(VLOOKUP(C95, 'Project Master'!A:B, 2, FALSE), "")</f>
        <v/>
      </c>
      <c r="F95" s="10" t="str">
        <f t="shared" si="1"/>
        <v/>
      </c>
      <c r="G95" s="10" t="str">
        <f t="shared" si="2"/>
        <v/>
      </c>
    </row>
    <row r="96">
      <c r="A96" s="22"/>
      <c r="C96" s="10"/>
      <c r="D96" s="19" t="str">
        <f>IFERROR(VLOOKUP(C96, 'Project Master'!A:B, 2, FALSE), "")</f>
        <v/>
      </c>
      <c r="F96" s="10" t="str">
        <f t="shared" si="1"/>
        <v/>
      </c>
      <c r="G96" s="10" t="str">
        <f t="shared" si="2"/>
        <v/>
      </c>
    </row>
    <row r="97">
      <c r="A97" s="22"/>
      <c r="C97" s="10"/>
      <c r="D97" s="19" t="str">
        <f>IFERROR(VLOOKUP(C97, 'Project Master'!A:B, 2, FALSE), "")</f>
        <v/>
      </c>
      <c r="F97" s="10" t="str">
        <f t="shared" si="1"/>
        <v/>
      </c>
      <c r="G97" s="10" t="str">
        <f t="shared" si="2"/>
        <v/>
      </c>
    </row>
    <row r="98">
      <c r="A98" s="22"/>
      <c r="C98" s="10"/>
      <c r="D98" s="19" t="str">
        <f>IFERROR(VLOOKUP(C98, 'Project Master'!A:B, 2, FALSE), "")</f>
        <v/>
      </c>
      <c r="F98" s="10" t="str">
        <f t="shared" si="1"/>
        <v/>
      </c>
      <c r="G98" s="10" t="str">
        <f t="shared" si="2"/>
        <v/>
      </c>
    </row>
    <row r="99">
      <c r="A99" s="22"/>
      <c r="C99" s="10"/>
      <c r="D99" s="19" t="str">
        <f>IFERROR(VLOOKUP(C99, 'Project Master'!A:B, 2, FALSE), "")</f>
        <v/>
      </c>
      <c r="F99" s="10" t="str">
        <f t="shared" si="1"/>
        <v/>
      </c>
      <c r="G99" s="10" t="str">
        <f t="shared" si="2"/>
        <v/>
      </c>
    </row>
    <row r="100">
      <c r="A100" s="22"/>
      <c r="C100" s="10"/>
      <c r="D100" s="19" t="str">
        <f>IFERROR(VLOOKUP(C100, 'Project Master'!A:B, 2, FALSE), "")</f>
        <v/>
      </c>
      <c r="F100" s="10" t="str">
        <f t="shared" si="1"/>
        <v/>
      </c>
      <c r="G100" s="10" t="str">
        <f t="shared" si="2"/>
        <v/>
      </c>
    </row>
    <row r="101">
      <c r="A101" s="22"/>
      <c r="C101" s="10"/>
      <c r="D101" s="19" t="str">
        <f>IFERROR(VLOOKUP(C101, 'Project Master'!A:B, 2, FALSE), "")</f>
        <v/>
      </c>
      <c r="F101" s="10" t="str">
        <f t="shared" si="1"/>
        <v/>
      </c>
    </row>
    <row r="102">
      <c r="A102" s="22"/>
      <c r="C102" s="10"/>
      <c r="D102" s="19" t="str">
        <f>IFERROR(VLOOKUP(C102, 'Project Master'!A:B, 2, FALSE), "")</f>
        <v/>
      </c>
      <c r="F102" s="10" t="str">
        <f t="shared" si="1"/>
        <v/>
      </c>
    </row>
    <row r="103">
      <c r="A103" s="22"/>
      <c r="C103" s="10"/>
      <c r="D103" s="19" t="str">
        <f>IFERROR(VLOOKUP(C103, 'Project Master'!A:B, 2, FALSE), "")</f>
        <v/>
      </c>
      <c r="F103" s="10" t="str">
        <f t="shared" si="1"/>
        <v/>
      </c>
    </row>
    <row r="104">
      <c r="A104" s="22"/>
      <c r="C104" s="10"/>
      <c r="D104" s="19" t="str">
        <f>IFERROR(VLOOKUP(C104, 'Project Master'!A:B, 2, FALSE), "")</f>
        <v/>
      </c>
      <c r="F104" s="10" t="str">
        <f t="shared" si="1"/>
        <v/>
      </c>
    </row>
    <row r="105">
      <c r="A105" s="22"/>
      <c r="C105" s="10"/>
      <c r="D105" s="19" t="str">
        <f>IFERROR(VLOOKUP(C105, 'Project Master'!A:B, 2, FALSE), "")</f>
        <v/>
      </c>
      <c r="F105" s="10" t="str">
        <f t="shared" si="1"/>
        <v/>
      </c>
    </row>
    <row r="106">
      <c r="A106" s="22"/>
      <c r="C106" s="10"/>
      <c r="D106" s="19" t="str">
        <f>IFERROR(VLOOKUP(C106, 'Project Master'!A:B, 2, FALSE), "")</f>
        <v/>
      </c>
      <c r="F106" s="10" t="str">
        <f t="shared" si="1"/>
        <v/>
      </c>
    </row>
    <row r="107">
      <c r="A107" s="22"/>
      <c r="C107" s="10"/>
      <c r="D107" s="19" t="str">
        <f>IFERROR(VLOOKUP(C107, 'Project Master'!A:B, 2, FALSE), "")</f>
        <v/>
      </c>
      <c r="F107" s="10" t="str">
        <f t="shared" si="1"/>
        <v/>
      </c>
    </row>
    <row r="108">
      <c r="A108" s="22"/>
      <c r="C108" s="10"/>
      <c r="D108" s="19" t="str">
        <f>IFERROR(VLOOKUP(C108, 'Project Master'!A:B, 2, FALSE), "")</f>
        <v/>
      </c>
      <c r="F108" s="10" t="str">
        <f t="shared" si="1"/>
        <v/>
      </c>
    </row>
    <row r="109">
      <c r="A109" s="22"/>
      <c r="C109" s="10"/>
      <c r="D109" s="19" t="str">
        <f>IFERROR(VLOOKUP(C109, 'Project Master'!A:B, 2, FALSE), "")</f>
        <v/>
      </c>
      <c r="F109" s="10" t="str">
        <f t="shared" si="1"/>
        <v/>
      </c>
    </row>
    <row r="110">
      <c r="A110" s="22"/>
      <c r="C110" s="10"/>
      <c r="D110" s="19" t="str">
        <f>IFERROR(VLOOKUP(C110, 'Project Master'!A:B, 2, FALSE), "")</f>
        <v/>
      </c>
      <c r="F110" s="10" t="str">
        <f t="shared" si="1"/>
        <v/>
      </c>
    </row>
    <row r="111">
      <c r="A111" s="22"/>
      <c r="C111" s="10"/>
      <c r="D111" s="19" t="str">
        <f>IFERROR(VLOOKUP(C111, 'Project Master'!A:B, 2, FALSE), "")</f>
        <v/>
      </c>
      <c r="F111" s="10" t="str">
        <f t="shared" si="1"/>
        <v/>
      </c>
    </row>
    <row r="112">
      <c r="A112" s="22"/>
      <c r="C112" s="10"/>
      <c r="D112" s="19" t="str">
        <f>IFERROR(VLOOKUP(C112, 'Project Master'!A:B, 2, FALSE), "")</f>
        <v/>
      </c>
      <c r="F112" s="10" t="str">
        <f t="shared" si="1"/>
        <v/>
      </c>
    </row>
    <row r="113">
      <c r="A113" s="22"/>
      <c r="C113" s="10"/>
      <c r="D113" s="19" t="str">
        <f>IFERROR(VLOOKUP(C113, 'Project Master'!A:B, 2, FALSE), "")</f>
        <v/>
      </c>
      <c r="F113" s="10" t="str">
        <f t="shared" si="1"/>
        <v/>
      </c>
    </row>
    <row r="114">
      <c r="A114" s="22"/>
      <c r="C114" s="10"/>
      <c r="D114" s="19" t="str">
        <f>IFERROR(VLOOKUP(C114, 'Project Master'!A:B, 2, FALSE), "")</f>
        <v/>
      </c>
      <c r="F114" s="10" t="str">
        <f t="shared" si="1"/>
        <v/>
      </c>
    </row>
    <row r="115">
      <c r="A115" s="22"/>
      <c r="C115" s="10"/>
      <c r="D115" s="19" t="str">
        <f>IFERROR(VLOOKUP(C115, 'Project Master'!A:B, 2, FALSE), "")</f>
        <v/>
      </c>
      <c r="F115" s="10" t="str">
        <f t="shared" si="1"/>
        <v/>
      </c>
    </row>
    <row r="116">
      <c r="A116" s="22"/>
      <c r="C116" s="10"/>
      <c r="D116" s="19" t="str">
        <f>IFERROR(VLOOKUP(C116, 'Project Master'!A:B, 2, FALSE), "")</f>
        <v/>
      </c>
      <c r="F116" s="10" t="str">
        <f t="shared" si="1"/>
        <v/>
      </c>
    </row>
    <row r="117">
      <c r="A117" s="22"/>
      <c r="C117" s="10"/>
      <c r="D117" s="19" t="str">
        <f>IFERROR(VLOOKUP(C117, 'Project Master'!A:B, 2, FALSE), "")</f>
        <v/>
      </c>
      <c r="F117" s="10" t="str">
        <f t="shared" si="1"/>
        <v/>
      </c>
    </row>
    <row r="118">
      <c r="A118" s="22"/>
      <c r="C118" s="10"/>
      <c r="D118" s="19" t="str">
        <f>IFERROR(VLOOKUP(C118, 'Project Master'!A:B, 2, FALSE), "")</f>
        <v/>
      </c>
      <c r="F118" s="10" t="str">
        <f t="shared" si="1"/>
        <v/>
      </c>
    </row>
    <row r="119">
      <c r="A119" s="22"/>
      <c r="C119" s="10"/>
      <c r="D119" s="19" t="str">
        <f>IFERROR(VLOOKUP(C119, 'Project Master'!A:B, 2, FALSE), "")</f>
        <v/>
      </c>
      <c r="F119" s="10" t="str">
        <f t="shared" si="1"/>
        <v/>
      </c>
    </row>
    <row r="120">
      <c r="A120" s="22"/>
      <c r="C120" s="10"/>
      <c r="D120" s="19" t="str">
        <f>IFERROR(VLOOKUP(C120, 'Project Master'!A:B, 2, FALSE), "")</f>
        <v/>
      </c>
      <c r="F120" s="10" t="str">
        <f t="shared" si="1"/>
        <v/>
      </c>
    </row>
    <row r="121">
      <c r="A121" s="22"/>
      <c r="C121" s="10"/>
      <c r="D121" s="19" t="str">
        <f>IFERROR(VLOOKUP(C121, 'Project Master'!A:B, 2, FALSE), "")</f>
        <v/>
      </c>
      <c r="F121" s="10" t="str">
        <f t="shared" si="1"/>
        <v/>
      </c>
    </row>
    <row r="122">
      <c r="A122" s="22"/>
      <c r="C122" s="10"/>
      <c r="D122" s="19" t="str">
        <f>IFERROR(VLOOKUP(C122, 'Project Master'!A:B, 2, FALSE), "")</f>
        <v/>
      </c>
      <c r="F122" s="10" t="str">
        <f t="shared" si="1"/>
        <v/>
      </c>
    </row>
    <row r="123">
      <c r="A123" s="22"/>
      <c r="C123" s="10"/>
      <c r="D123" s="19" t="str">
        <f>IFERROR(VLOOKUP(C123, 'Project Master'!A:B, 2, FALSE), "")</f>
        <v/>
      </c>
      <c r="F123" s="10" t="str">
        <f t="shared" si="1"/>
        <v/>
      </c>
    </row>
    <row r="124">
      <c r="A124" s="22"/>
      <c r="C124" s="10"/>
      <c r="D124" s="19" t="str">
        <f>IFERROR(VLOOKUP(C124, 'Project Master'!A:B, 2, FALSE), "")</f>
        <v/>
      </c>
      <c r="F124" s="10" t="str">
        <f t="shared" si="1"/>
        <v/>
      </c>
    </row>
    <row r="125">
      <c r="A125" s="22"/>
      <c r="C125" s="10"/>
      <c r="D125" s="19" t="str">
        <f>IFERROR(VLOOKUP(C125, 'Project Master'!A:B, 2, FALSE), "")</f>
        <v/>
      </c>
      <c r="F125" s="10" t="str">
        <f t="shared" si="1"/>
        <v/>
      </c>
    </row>
    <row r="126">
      <c r="A126" s="22"/>
      <c r="C126" s="10"/>
      <c r="D126" s="19" t="str">
        <f>IFERROR(VLOOKUP(C126, 'Project Master'!A:B, 2, FALSE), "")</f>
        <v/>
      </c>
      <c r="F126" s="10" t="str">
        <f t="shared" si="1"/>
        <v/>
      </c>
    </row>
    <row r="127">
      <c r="A127" s="22"/>
      <c r="C127" s="10"/>
      <c r="D127" s="19" t="str">
        <f>IFERROR(VLOOKUP(C127, 'Project Master'!A:B, 2, FALSE), "")</f>
        <v/>
      </c>
      <c r="F127" s="10" t="str">
        <f t="shared" si="1"/>
        <v/>
      </c>
    </row>
    <row r="128">
      <c r="A128" s="22"/>
      <c r="C128" s="10"/>
      <c r="D128" s="19" t="str">
        <f>IFERROR(VLOOKUP(C128, 'Project Master'!A:B, 2, FALSE), "")</f>
        <v/>
      </c>
      <c r="F128" s="10" t="str">
        <f t="shared" si="1"/>
        <v/>
      </c>
    </row>
    <row r="129">
      <c r="A129" s="22"/>
      <c r="C129" s="10"/>
      <c r="D129" s="19" t="str">
        <f>IFERROR(VLOOKUP(C129, 'Project Master'!A:B, 2, FALSE), "")</f>
        <v/>
      </c>
      <c r="F129" s="10" t="str">
        <f t="shared" si="1"/>
        <v/>
      </c>
    </row>
    <row r="130">
      <c r="A130" s="22"/>
      <c r="C130" s="10"/>
      <c r="D130" s="19" t="str">
        <f>IFERROR(VLOOKUP(C130, 'Project Master'!A:B, 2, FALSE), "")</f>
        <v/>
      </c>
      <c r="F130" s="10" t="str">
        <f t="shared" si="1"/>
        <v/>
      </c>
    </row>
    <row r="131">
      <c r="A131" s="22"/>
      <c r="C131" s="10"/>
      <c r="D131" s="19" t="str">
        <f>IFERROR(VLOOKUP(C131, 'Project Master'!A:B, 2, FALSE), "")</f>
        <v/>
      </c>
      <c r="F131" s="10" t="str">
        <f t="shared" si="1"/>
        <v/>
      </c>
    </row>
    <row r="132">
      <c r="A132" s="22"/>
      <c r="C132" s="10"/>
      <c r="D132" s="19" t="str">
        <f>IFERROR(VLOOKUP(C132, 'Project Master'!A:B, 2, FALSE), "")</f>
        <v/>
      </c>
      <c r="F132" s="10" t="str">
        <f t="shared" si="1"/>
        <v/>
      </c>
    </row>
    <row r="133">
      <c r="A133" s="22"/>
      <c r="C133" s="10"/>
      <c r="D133" s="19" t="str">
        <f>IFERROR(VLOOKUP(C133, 'Project Master'!A:B, 2, FALSE), "")</f>
        <v/>
      </c>
      <c r="F133" s="10" t="str">
        <f t="shared" si="1"/>
        <v/>
      </c>
    </row>
    <row r="134">
      <c r="A134" s="22"/>
      <c r="C134" s="10"/>
      <c r="D134" s="19" t="str">
        <f>IFERROR(VLOOKUP(C134, 'Project Master'!A:B, 2, FALSE), "")</f>
        <v/>
      </c>
      <c r="F134" s="10" t="str">
        <f t="shared" si="1"/>
        <v/>
      </c>
    </row>
    <row r="135">
      <c r="A135" s="22"/>
      <c r="C135" s="10"/>
      <c r="D135" s="19" t="str">
        <f>IFERROR(VLOOKUP(C135, 'Project Master'!A:B, 2, FALSE), "")</f>
        <v/>
      </c>
      <c r="F135" s="10" t="str">
        <f t="shared" si="1"/>
        <v/>
      </c>
    </row>
    <row r="136">
      <c r="A136" s="22"/>
      <c r="C136" s="10"/>
      <c r="D136" s="19" t="str">
        <f>IFERROR(VLOOKUP(C136, 'Project Master'!A:B, 2, FALSE), "")</f>
        <v/>
      </c>
      <c r="F136" s="10" t="str">
        <f t="shared" si="1"/>
        <v/>
      </c>
    </row>
    <row r="137">
      <c r="A137" s="22"/>
      <c r="C137" s="10"/>
      <c r="D137" s="19" t="str">
        <f>IFERROR(VLOOKUP(C137, 'Project Master'!A:B, 2, FALSE), "")</f>
        <v/>
      </c>
      <c r="F137" s="10" t="str">
        <f t="shared" si="1"/>
        <v/>
      </c>
    </row>
    <row r="138">
      <c r="A138" s="22"/>
      <c r="C138" s="10"/>
      <c r="D138" s="19" t="str">
        <f>IFERROR(VLOOKUP(C138, 'Project Master'!A:B, 2, FALSE), "")</f>
        <v/>
      </c>
      <c r="F138" s="10" t="str">
        <f t="shared" si="1"/>
        <v/>
      </c>
    </row>
    <row r="139">
      <c r="A139" s="22"/>
      <c r="C139" s="10"/>
      <c r="D139" s="19" t="str">
        <f>IFERROR(VLOOKUP(C139, 'Project Master'!A:B, 2, FALSE), "")</f>
        <v/>
      </c>
      <c r="F139" s="10" t="str">
        <f t="shared" si="1"/>
        <v/>
      </c>
    </row>
    <row r="140">
      <c r="A140" s="22"/>
      <c r="C140" s="10"/>
      <c r="D140" s="19" t="str">
        <f>IFERROR(VLOOKUP(C140, 'Project Master'!A:B, 2, FALSE), "")</f>
        <v/>
      </c>
      <c r="F140" s="10" t="str">
        <f t="shared" si="1"/>
        <v/>
      </c>
    </row>
    <row r="141">
      <c r="A141" s="22"/>
      <c r="C141" s="10"/>
      <c r="D141" s="19" t="str">
        <f>IFERROR(VLOOKUP(C141, 'Project Master'!A:B, 2, FALSE), "")</f>
        <v/>
      </c>
      <c r="F141" s="10" t="str">
        <f t="shared" si="1"/>
        <v/>
      </c>
    </row>
    <row r="142">
      <c r="A142" s="22"/>
      <c r="C142" s="10"/>
      <c r="D142" s="19" t="str">
        <f>IFERROR(VLOOKUP(C142, 'Project Master'!A:B, 2, FALSE), "")</f>
        <v/>
      </c>
      <c r="F142" s="10" t="str">
        <f t="shared" si="1"/>
        <v/>
      </c>
    </row>
    <row r="143">
      <c r="A143" s="22"/>
      <c r="C143" s="10"/>
      <c r="D143" s="19" t="str">
        <f>IFERROR(VLOOKUP(C143, 'Project Master'!A:B, 2, FALSE), "")</f>
        <v/>
      </c>
      <c r="F143" s="10" t="str">
        <f t="shared" si="1"/>
        <v/>
      </c>
    </row>
    <row r="144">
      <c r="A144" s="22"/>
      <c r="C144" s="10"/>
      <c r="D144" s="19" t="str">
        <f>IFERROR(VLOOKUP(C144, 'Project Master'!A:B, 2, FALSE), "")</f>
        <v/>
      </c>
      <c r="F144" s="10" t="str">
        <f t="shared" si="1"/>
        <v/>
      </c>
    </row>
    <row r="145">
      <c r="A145" s="22"/>
      <c r="C145" s="10"/>
      <c r="D145" s="19" t="str">
        <f>IFERROR(VLOOKUP(C145, 'Project Master'!A:B, 2, FALSE), "")</f>
        <v/>
      </c>
      <c r="F145" s="10" t="str">
        <f t="shared" si="1"/>
        <v/>
      </c>
    </row>
    <row r="146">
      <c r="A146" s="22"/>
      <c r="C146" s="10"/>
      <c r="D146" s="19" t="str">
        <f>IFERROR(VLOOKUP(C146, 'Project Master'!A:B, 2, FALSE), "")</f>
        <v/>
      </c>
      <c r="F146" s="10" t="str">
        <f t="shared" si="1"/>
        <v/>
      </c>
    </row>
    <row r="147">
      <c r="A147" s="22"/>
      <c r="C147" s="10"/>
      <c r="D147" s="19" t="str">
        <f>IFERROR(VLOOKUP(C147, 'Project Master'!A:B, 2, FALSE), "")</f>
        <v/>
      </c>
      <c r="F147" s="10" t="str">
        <f t="shared" si="1"/>
        <v/>
      </c>
    </row>
    <row r="148">
      <c r="A148" s="22"/>
      <c r="C148" s="10"/>
      <c r="D148" s="19" t="str">
        <f>IFERROR(VLOOKUP(C148, 'Project Master'!A:B, 2, FALSE), "")</f>
        <v/>
      </c>
      <c r="F148" s="10" t="str">
        <f t="shared" si="1"/>
        <v/>
      </c>
    </row>
    <row r="149">
      <c r="A149" s="22"/>
      <c r="C149" s="10"/>
      <c r="D149" s="19" t="str">
        <f>IFERROR(VLOOKUP(C149, 'Project Master'!A:B, 2, FALSE), "")</f>
        <v/>
      </c>
      <c r="F149" s="10" t="str">
        <f t="shared" si="1"/>
        <v/>
      </c>
    </row>
    <row r="150">
      <c r="A150" s="22"/>
      <c r="C150" s="10"/>
      <c r="D150" s="19" t="str">
        <f>IFERROR(VLOOKUP(C150, 'Project Master'!A:B, 2, FALSE), "")</f>
        <v/>
      </c>
      <c r="F150" s="10" t="str">
        <f t="shared" si="1"/>
        <v/>
      </c>
    </row>
    <row r="151">
      <c r="A151" s="22"/>
      <c r="C151" s="10"/>
      <c r="D151" s="19" t="str">
        <f>IFERROR(VLOOKUP(C151, 'Project Master'!A:B, 2, FALSE), "")</f>
        <v/>
      </c>
      <c r="F151" s="10" t="str">
        <f t="shared" si="1"/>
        <v/>
      </c>
    </row>
    <row r="152">
      <c r="A152" s="22"/>
      <c r="C152" s="10"/>
      <c r="D152" s="19" t="str">
        <f>IFERROR(VLOOKUP(C152, 'Project Master'!A:B, 2, FALSE), "")</f>
        <v/>
      </c>
      <c r="F152" s="10" t="str">
        <f t="shared" si="1"/>
        <v/>
      </c>
    </row>
    <row r="153">
      <c r="A153" s="22"/>
      <c r="C153" s="10"/>
      <c r="D153" s="19" t="str">
        <f>IFERROR(VLOOKUP(C153, 'Project Master'!A:B, 2, FALSE), "")</f>
        <v/>
      </c>
      <c r="F153" s="10" t="str">
        <f t="shared" si="1"/>
        <v/>
      </c>
    </row>
    <row r="154">
      <c r="A154" s="22"/>
      <c r="C154" s="10"/>
      <c r="D154" s="19" t="str">
        <f>IFERROR(VLOOKUP(C154, 'Project Master'!A:B, 2, FALSE), "")</f>
        <v/>
      </c>
      <c r="F154" s="10" t="str">
        <f t="shared" si="1"/>
        <v/>
      </c>
    </row>
    <row r="155">
      <c r="A155" s="22"/>
      <c r="C155" s="10"/>
      <c r="D155" s="19" t="str">
        <f>IFERROR(VLOOKUP(C155, 'Project Master'!A:B, 2, FALSE), "")</f>
        <v/>
      </c>
      <c r="F155" s="10" t="str">
        <f t="shared" si="1"/>
        <v/>
      </c>
    </row>
    <row r="156">
      <c r="A156" s="22"/>
      <c r="C156" s="10"/>
      <c r="D156" s="19" t="str">
        <f>IFERROR(VLOOKUP(C156, 'Project Master'!A:B, 2, FALSE), "")</f>
        <v/>
      </c>
      <c r="F156" s="10" t="str">
        <f t="shared" si="1"/>
        <v/>
      </c>
    </row>
    <row r="157">
      <c r="A157" s="22"/>
      <c r="C157" s="10"/>
      <c r="D157" s="19" t="str">
        <f>IFERROR(VLOOKUP(C157, 'Project Master'!A:B, 2, FALSE), "")</f>
        <v/>
      </c>
      <c r="F157" s="10" t="str">
        <f t="shared" si="1"/>
        <v/>
      </c>
    </row>
    <row r="158">
      <c r="A158" s="22"/>
      <c r="C158" s="10"/>
      <c r="D158" s="19" t="str">
        <f>IFERROR(VLOOKUP(C158, 'Project Master'!A:B, 2, FALSE), "")</f>
        <v/>
      </c>
      <c r="F158" s="10" t="str">
        <f t="shared" si="1"/>
        <v/>
      </c>
    </row>
    <row r="159">
      <c r="A159" s="22"/>
      <c r="C159" s="10"/>
      <c r="D159" s="19" t="str">
        <f>IFERROR(VLOOKUP(C159, 'Project Master'!A:B, 2, FALSE), "")</f>
        <v/>
      </c>
      <c r="F159" s="10" t="str">
        <f t="shared" si="1"/>
        <v/>
      </c>
    </row>
    <row r="160">
      <c r="A160" s="22"/>
      <c r="C160" s="10"/>
      <c r="D160" s="19" t="str">
        <f>IFERROR(VLOOKUP(C160, 'Project Master'!A:B, 2, FALSE), "")</f>
        <v/>
      </c>
      <c r="F160" s="10" t="str">
        <f t="shared" si="1"/>
        <v/>
      </c>
    </row>
    <row r="161">
      <c r="A161" s="22"/>
      <c r="C161" s="10"/>
      <c r="D161" s="19" t="str">
        <f>IFERROR(VLOOKUP(C161, 'Project Master'!A:B, 2, FALSE), "")</f>
        <v/>
      </c>
      <c r="F161" s="10" t="str">
        <f t="shared" si="1"/>
        <v/>
      </c>
    </row>
    <row r="162">
      <c r="A162" s="22"/>
      <c r="C162" s="10"/>
      <c r="D162" s="19" t="str">
        <f>IFERROR(VLOOKUP(C162, 'Project Master'!A:B, 2, FALSE), "")</f>
        <v/>
      </c>
      <c r="F162" s="10" t="str">
        <f t="shared" si="1"/>
        <v/>
      </c>
    </row>
    <row r="163">
      <c r="A163" s="22"/>
      <c r="C163" s="10"/>
      <c r="D163" s="19" t="str">
        <f>IFERROR(VLOOKUP(C163, 'Project Master'!A:B, 2, FALSE), "")</f>
        <v/>
      </c>
      <c r="F163" s="10" t="str">
        <f t="shared" si="1"/>
        <v/>
      </c>
    </row>
    <row r="164">
      <c r="A164" s="22"/>
      <c r="C164" s="10"/>
      <c r="D164" s="19" t="str">
        <f>IFERROR(VLOOKUP(C164, 'Project Master'!A:B, 2, FALSE), "")</f>
        <v/>
      </c>
      <c r="F164" s="10" t="str">
        <f t="shared" si="1"/>
        <v/>
      </c>
    </row>
    <row r="165">
      <c r="A165" s="22"/>
      <c r="C165" s="10"/>
      <c r="D165" s="19" t="str">
        <f>IFERROR(VLOOKUP(C165, 'Project Master'!A:B, 2, FALSE), "")</f>
        <v/>
      </c>
      <c r="F165" s="10" t="str">
        <f t="shared" si="1"/>
        <v/>
      </c>
    </row>
    <row r="166">
      <c r="A166" s="22"/>
      <c r="C166" s="10"/>
      <c r="D166" s="19" t="str">
        <f>IFERROR(VLOOKUP(C166, 'Project Master'!A:B, 2, FALSE), "")</f>
        <v/>
      </c>
      <c r="F166" s="10" t="str">
        <f t="shared" si="1"/>
        <v/>
      </c>
    </row>
    <row r="167">
      <c r="A167" s="22"/>
      <c r="C167" s="10"/>
      <c r="D167" s="19" t="str">
        <f>IFERROR(VLOOKUP(C167, 'Project Master'!A:B, 2, FALSE), "")</f>
        <v/>
      </c>
      <c r="F167" s="10" t="str">
        <f t="shared" si="1"/>
        <v/>
      </c>
    </row>
    <row r="168">
      <c r="A168" s="22"/>
      <c r="C168" s="10"/>
      <c r="D168" s="19" t="str">
        <f>IFERROR(VLOOKUP(C168, 'Project Master'!A:B, 2, FALSE), "")</f>
        <v/>
      </c>
      <c r="F168" s="10" t="str">
        <f t="shared" si="1"/>
        <v/>
      </c>
    </row>
    <row r="169">
      <c r="A169" s="22"/>
      <c r="C169" s="10"/>
      <c r="D169" s="19" t="str">
        <f>IFERROR(VLOOKUP(C169, 'Project Master'!A:B, 2, FALSE), "")</f>
        <v/>
      </c>
      <c r="F169" s="10" t="str">
        <f t="shared" si="1"/>
        <v/>
      </c>
    </row>
    <row r="170">
      <c r="A170" s="22"/>
      <c r="C170" s="10"/>
      <c r="D170" s="19" t="str">
        <f>IFERROR(VLOOKUP(C170, 'Project Master'!A:B, 2, FALSE), "")</f>
        <v/>
      </c>
      <c r="F170" s="10" t="str">
        <f t="shared" si="1"/>
        <v/>
      </c>
    </row>
    <row r="171">
      <c r="A171" s="22"/>
      <c r="C171" s="10"/>
      <c r="D171" s="19" t="str">
        <f>IFERROR(VLOOKUP(C171, 'Project Master'!A:B, 2, FALSE), "")</f>
        <v/>
      </c>
      <c r="F171" s="10" t="str">
        <f t="shared" si="1"/>
        <v/>
      </c>
    </row>
    <row r="172">
      <c r="A172" s="22"/>
      <c r="C172" s="10"/>
      <c r="D172" s="19" t="str">
        <f>IFERROR(VLOOKUP(C172, 'Project Master'!A:B, 2, FALSE), "")</f>
        <v/>
      </c>
      <c r="F172" s="10" t="str">
        <f t="shared" si="1"/>
        <v/>
      </c>
    </row>
    <row r="173">
      <c r="A173" s="22"/>
      <c r="C173" s="10"/>
      <c r="D173" s="19" t="str">
        <f>IFERROR(VLOOKUP(C173, 'Project Master'!A:B, 2, FALSE), "")</f>
        <v/>
      </c>
      <c r="F173" s="10" t="str">
        <f t="shared" si="1"/>
        <v/>
      </c>
    </row>
    <row r="174">
      <c r="A174" s="22"/>
      <c r="C174" s="10"/>
      <c r="D174" s="19" t="str">
        <f>IFERROR(VLOOKUP(C174, 'Project Master'!A:B, 2, FALSE), "")</f>
        <v/>
      </c>
      <c r="F174" s="10" t="str">
        <f t="shared" si="1"/>
        <v/>
      </c>
    </row>
    <row r="175">
      <c r="A175" s="22"/>
      <c r="C175" s="10"/>
      <c r="D175" s="19" t="str">
        <f>IFERROR(VLOOKUP(C175, 'Project Master'!A:B, 2, FALSE), "")</f>
        <v/>
      </c>
      <c r="F175" s="10" t="str">
        <f t="shared" si="1"/>
        <v/>
      </c>
    </row>
    <row r="176">
      <c r="A176" s="22"/>
      <c r="C176" s="10"/>
      <c r="D176" s="19" t="str">
        <f>IFERROR(VLOOKUP(C176, 'Project Master'!A:B, 2, FALSE), "")</f>
        <v/>
      </c>
      <c r="F176" s="10" t="str">
        <f t="shared" si="1"/>
        <v/>
      </c>
    </row>
    <row r="177">
      <c r="A177" s="22"/>
      <c r="C177" s="10"/>
      <c r="D177" s="19" t="str">
        <f>IFERROR(VLOOKUP(C177, 'Project Master'!A:B, 2, FALSE), "")</f>
        <v/>
      </c>
      <c r="F177" s="10" t="str">
        <f t="shared" si="1"/>
        <v/>
      </c>
    </row>
    <row r="178">
      <c r="A178" s="22"/>
      <c r="C178" s="10"/>
      <c r="D178" s="19" t="str">
        <f>IFERROR(VLOOKUP(C178, 'Project Master'!A:B, 2, FALSE), "")</f>
        <v/>
      </c>
      <c r="F178" s="10" t="str">
        <f t="shared" si="1"/>
        <v/>
      </c>
    </row>
    <row r="179">
      <c r="A179" s="22"/>
      <c r="C179" s="10"/>
      <c r="D179" s="19" t="str">
        <f>IFERROR(VLOOKUP(C179, 'Project Master'!A:B, 2, FALSE), "")</f>
        <v/>
      </c>
      <c r="F179" s="10" t="str">
        <f t="shared" si="1"/>
        <v/>
      </c>
    </row>
    <row r="180">
      <c r="A180" s="22"/>
      <c r="C180" s="10"/>
      <c r="D180" s="19" t="str">
        <f>IFERROR(VLOOKUP(C180, 'Project Master'!A:B, 2, FALSE), "")</f>
        <v/>
      </c>
      <c r="F180" s="10" t="str">
        <f t="shared" si="1"/>
        <v/>
      </c>
    </row>
    <row r="181">
      <c r="A181" s="22"/>
      <c r="C181" s="10"/>
      <c r="D181" s="19" t="str">
        <f>IFERROR(VLOOKUP(C181, 'Project Master'!A:B, 2, FALSE), "")</f>
        <v/>
      </c>
      <c r="F181" s="10" t="str">
        <f t="shared" si="1"/>
        <v/>
      </c>
    </row>
    <row r="182">
      <c r="A182" s="22"/>
      <c r="C182" s="10"/>
      <c r="D182" s="19" t="str">
        <f>IFERROR(VLOOKUP(C182, 'Project Master'!A:B, 2, FALSE), "")</f>
        <v/>
      </c>
      <c r="F182" s="10" t="str">
        <f t="shared" si="1"/>
        <v/>
      </c>
    </row>
    <row r="183">
      <c r="A183" s="22"/>
      <c r="C183" s="10"/>
      <c r="D183" s="19" t="str">
        <f>IFERROR(VLOOKUP(C183, 'Project Master'!A:B, 2, FALSE), "")</f>
        <v/>
      </c>
      <c r="F183" s="10" t="str">
        <f t="shared" si="1"/>
        <v/>
      </c>
    </row>
    <row r="184">
      <c r="A184" s="22"/>
      <c r="C184" s="10"/>
      <c r="D184" s="19" t="str">
        <f>IFERROR(VLOOKUP(C184, 'Project Master'!A:B, 2, FALSE), "")</f>
        <v/>
      </c>
      <c r="F184" s="10" t="str">
        <f t="shared" si="1"/>
        <v/>
      </c>
    </row>
    <row r="185">
      <c r="A185" s="22"/>
      <c r="C185" s="10"/>
      <c r="D185" s="19" t="str">
        <f>IFERROR(VLOOKUP(C185, 'Project Master'!A:B, 2, FALSE), "")</f>
        <v/>
      </c>
      <c r="F185" s="10" t="str">
        <f t="shared" si="1"/>
        <v/>
      </c>
    </row>
    <row r="186">
      <c r="A186" s="22"/>
      <c r="C186" s="10"/>
      <c r="D186" s="19" t="str">
        <f>IFERROR(VLOOKUP(C186, 'Project Master'!A:B, 2, FALSE), "")</f>
        <v/>
      </c>
      <c r="F186" s="10" t="str">
        <f t="shared" si="1"/>
        <v/>
      </c>
    </row>
    <row r="187">
      <c r="A187" s="22"/>
      <c r="C187" s="10"/>
      <c r="D187" s="19" t="str">
        <f>IFERROR(VLOOKUP(C187, 'Project Master'!A:B, 2, FALSE), "")</f>
        <v/>
      </c>
      <c r="F187" s="10" t="str">
        <f t="shared" si="1"/>
        <v/>
      </c>
    </row>
    <row r="188">
      <c r="A188" s="22"/>
      <c r="C188" s="10"/>
      <c r="D188" s="19" t="str">
        <f>IFERROR(VLOOKUP(C188, 'Project Master'!A:B, 2, FALSE), "")</f>
        <v/>
      </c>
      <c r="F188" s="10" t="str">
        <f t="shared" si="1"/>
        <v/>
      </c>
    </row>
    <row r="189">
      <c r="A189" s="22"/>
      <c r="C189" s="10"/>
      <c r="D189" s="19" t="str">
        <f>IFERROR(VLOOKUP(C189, 'Project Master'!A:B, 2, FALSE), "")</f>
        <v/>
      </c>
      <c r="F189" s="10" t="str">
        <f t="shared" si="1"/>
        <v/>
      </c>
    </row>
    <row r="190">
      <c r="A190" s="22"/>
      <c r="C190" s="10"/>
      <c r="D190" s="19" t="str">
        <f>IFERROR(VLOOKUP(C190, 'Project Master'!A:B, 2, FALSE), "")</f>
        <v/>
      </c>
      <c r="F190" s="10" t="str">
        <f t="shared" si="1"/>
        <v/>
      </c>
    </row>
    <row r="191">
      <c r="A191" s="22"/>
      <c r="C191" s="10"/>
      <c r="D191" s="19" t="str">
        <f>IFERROR(VLOOKUP(C191, 'Project Master'!A:B, 2, FALSE), "")</f>
        <v/>
      </c>
      <c r="F191" s="10" t="str">
        <f t="shared" si="1"/>
        <v/>
      </c>
    </row>
    <row r="192">
      <c r="A192" s="22"/>
      <c r="C192" s="10"/>
      <c r="D192" s="19" t="str">
        <f>IFERROR(VLOOKUP(C192, 'Project Master'!A:B, 2, FALSE), "")</f>
        <v/>
      </c>
      <c r="F192" s="10" t="str">
        <f t="shared" si="1"/>
        <v/>
      </c>
    </row>
    <row r="193">
      <c r="A193" s="22"/>
      <c r="C193" s="10"/>
      <c r="D193" s="19" t="str">
        <f>IFERROR(VLOOKUP(C193, 'Project Master'!A:B, 2, FALSE), "")</f>
        <v/>
      </c>
      <c r="F193" s="10" t="str">
        <f t="shared" si="1"/>
        <v/>
      </c>
    </row>
    <row r="194">
      <c r="A194" s="22"/>
      <c r="C194" s="10"/>
      <c r="D194" s="19" t="str">
        <f>IFERROR(VLOOKUP(C194, 'Project Master'!A:B, 2, FALSE), "")</f>
        <v/>
      </c>
      <c r="F194" s="10" t="str">
        <f t="shared" si="1"/>
        <v/>
      </c>
    </row>
    <row r="195">
      <c r="A195" s="22"/>
      <c r="C195" s="10"/>
      <c r="D195" s="19" t="str">
        <f>IFERROR(VLOOKUP(C195, 'Project Master'!A:B, 2, FALSE), "")</f>
        <v/>
      </c>
      <c r="F195" s="10" t="str">
        <f t="shared" si="1"/>
        <v/>
      </c>
    </row>
    <row r="196">
      <c r="A196" s="22"/>
      <c r="C196" s="10"/>
      <c r="D196" s="19" t="str">
        <f>IFERROR(VLOOKUP(C196, 'Project Master'!A:B, 2, FALSE), "")</f>
        <v/>
      </c>
      <c r="F196" s="10" t="str">
        <f t="shared" si="1"/>
        <v/>
      </c>
    </row>
    <row r="197">
      <c r="A197" s="22"/>
      <c r="C197" s="10"/>
      <c r="D197" s="19" t="str">
        <f>IFERROR(VLOOKUP(C197, 'Project Master'!A:B, 2, FALSE), "")</f>
        <v/>
      </c>
      <c r="F197" s="10" t="str">
        <f t="shared" si="1"/>
        <v/>
      </c>
    </row>
    <row r="198">
      <c r="A198" s="22"/>
      <c r="C198" s="10"/>
      <c r="D198" s="19" t="str">
        <f>IFERROR(VLOOKUP(C198, 'Project Master'!A:B, 2, FALSE), "")</f>
        <v/>
      </c>
      <c r="F198" s="10" t="str">
        <f t="shared" si="1"/>
        <v/>
      </c>
    </row>
    <row r="199">
      <c r="A199" s="22"/>
      <c r="C199" s="10"/>
      <c r="D199" s="19" t="str">
        <f>IFERROR(VLOOKUP(C199, 'Project Master'!A:B, 2, FALSE), "")</f>
        <v/>
      </c>
      <c r="F199" s="10" t="str">
        <f t="shared" si="1"/>
        <v/>
      </c>
    </row>
    <row r="200">
      <c r="A200" s="22"/>
      <c r="C200" s="10"/>
      <c r="D200" s="19" t="str">
        <f>IFERROR(VLOOKUP(C200, 'Project Master'!A:B, 2, FALSE), "")</f>
        <v/>
      </c>
      <c r="F200" s="10" t="str">
        <f t="shared" si="1"/>
        <v/>
      </c>
    </row>
    <row r="201">
      <c r="A201" s="22"/>
      <c r="C201" s="10"/>
      <c r="D201" s="19" t="str">
        <f>IFERROR(VLOOKUP(C201, 'Project Master'!A:B, 2, FALSE), "")</f>
        <v/>
      </c>
      <c r="F201" s="10" t="str">
        <f t="shared" si="1"/>
        <v/>
      </c>
    </row>
    <row r="202">
      <c r="A202" s="22"/>
      <c r="C202" s="10"/>
      <c r="D202" s="19" t="str">
        <f>IFERROR(VLOOKUP(C202, 'Project Master'!A:B, 2, FALSE), "")</f>
        <v/>
      </c>
      <c r="F202" s="10" t="str">
        <f t="shared" si="1"/>
        <v/>
      </c>
    </row>
    <row r="203">
      <c r="A203" s="22"/>
      <c r="C203" s="10"/>
      <c r="D203" s="19" t="str">
        <f>IFERROR(VLOOKUP(C203, 'Project Master'!A:B, 2, FALSE), "")</f>
        <v/>
      </c>
      <c r="F203" s="10" t="str">
        <f t="shared" si="1"/>
        <v/>
      </c>
    </row>
    <row r="204">
      <c r="A204" s="22"/>
      <c r="C204" s="10"/>
      <c r="D204" s="19" t="str">
        <f>IFERROR(VLOOKUP(C204, 'Project Master'!A:B, 2, FALSE), "")</f>
        <v/>
      </c>
      <c r="F204" s="10" t="str">
        <f t="shared" si="1"/>
        <v/>
      </c>
    </row>
    <row r="205">
      <c r="A205" s="22"/>
      <c r="C205" s="10"/>
      <c r="D205" s="19" t="str">
        <f>IFERROR(VLOOKUP(C205, 'Project Master'!A:B, 2, FALSE), "")</f>
        <v/>
      </c>
      <c r="F205" s="10" t="str">
        <f t="shared" si="1"/>
        <v/>
      </c>
    </row>
    <row r="206">
      <c r="A206" s="22"/>
      <c r="C206" s="10"/>
      <c r="D206" s="19" t="str">
        <f>IFERROR(VLOOKUP(C206, 'Project Master'!A:B, 2, FALSE), "")</f>
        <v/>
      </c>
      <c r="F206" s="10" t="str">
        <f t="shared" si="1"/>
        <v/>
      </c>
    </row>
    <row r="207">
      <c r="A207" s="22"/>
      <c r="C207" s="10"/>
      <c r="D207" s="19" t="str">
        <f>IFERROR(VLOOKUP(C207, 'Project Master'!A:B, 2, FALSE), "")</f>
        <v/>
      </c>
      <c r="F207" s="10" t="str">
        <f t="shared" si="1"/>
        <v/>
      </c>
    </row>
    <row r="208">
      <c r="A208" s="22"/>
      <c r="C208" s="10"/>
      <c r="D208" s="19" t="str">
        <f>IFERROR(VLOOKUP(C208, 'Project Master'!A:B, 2, FALSE), "")</f>
        <v/>
      </c>
      <c r="F208" s="10" t="str">
        <f t="shared" si="1"/>
        <v/>
      </c>
    </row>
    <row r="209">
      <c r="A209" s="22"/>
      <c r="C209" s="10"/>
      <c r="D209" s="19" t="str">
        <f>IFERROR(VLOOKUP(C209, 'Project Master'!A:B, 2, FALSE), "")</f>
        <v/>
      </c>
      <c r="F209" s="10" t="str">
        <f t="shared" si="1"/>
        <v/>
      </c>
    </row>
    <row r="210">
      <c r="A210" s="22"/>
      <c r="C210" s="10"/>
      <c r="D210" s="19" t="str">
        <f>IFERROR(VLOOKUP(C210, 'Project Master'!A:B, 2, FALSE), "")</f>
        <v/>
      </c>
      <c r="F210" s="10" t="str">
        <f t="shared" si="1"/>
        <v/>
      </c>
    </row>
    <row r="211">
      <c r="A211" s="22"/>
      <c r="C211" s="10"/>
      <c r="D211" s="19" t="str">
        <f>IFERROR(VLOOKUP(C211, 'Project Master'!A:B, 2, FALSE), "")</f>
        <v/>
      </c>
      <c r="F211" s="10" t="str">
        <f t="shared" si="1"/>
        <v/>
      </c>
    </row>
    <row r="212">
      <c r="A212" s="22"/>
      <c r="C212" s="10"/>
      <c r="D212" s="19" t="str">
        <f>IFERROR(VLOOKUP(C212, 'Project Master'!A:B, 2, FALSE), "")</f>
        <v/>
      </c>
      <c r="F212" s="10" t="str">
        <f t="shared" si="1"/>
        <v/>
      </c>
    </row>
    <row r="213">
      <c r="A213" s="22"/>
      <c r="C213" s="10"/>
      <c r="D213" s="19" t="str">
        <f>IFERROR(VLOOKUP(C213, 'Project Master'!A:B, 2, FALSE), "")</f>
        <v/>
      </c>
      <c r="F213" s="10" t="str">
        <f t="shared" si="1"/>
        <v/>
      </c>
    </row>
    <row r="214">
      <c r="A214" s="22"/>
      <c r="C214" s="10"/>
      <c r="D214" s="19" t="str">
        <f>IFERROR(VLOOKUP(C214, 'Project Master'!A:B, 2, FALSE), "")</f>
        <v/>
      </c>
      <c r="F214" s="10" t="str">
        <f t="shared" si="1"/>
        <v/>
      </c>
    </row>
    <row r="215">
      <c r="A215" s="22"/>
      <c r="C215" s="10"/>
      <c r="D215" s="19" t="str">
        <f>IFERROR(VLOOKUP(C215, 'Project Master'!A:B, 2, FALSE), "")</f>
        <v/>
      </c>
      <c r="F215" s="10" t="str">
        <f t="shared" si="1"/>
        <v/>
      </c>
    </row>
    <row r="216">
      <c r="A216" s="22"/>
      <c r="C216" s="10"/>
      <c r="D216" s="19" t="str">
        <f>IFERROR(VLOOKUP(C216, 'Project Master'!A:B, 2, FALSE), "")</f>
        <v/>
      </c>
      <c r="F216" s="10" t="str">
        <f t="shared" si="1"/>
        <v/>
      </c>
    </row>
    <row r="217">
      <c r="A217" s="22"/>
      <c r="C217" s="10"/>
      <c r="D217" s="19" t="str">
        <f>IFERROR(VLOOKUP(C217, 'Project Master'!A:B, 2, FALSE), "")</f>
        <v/>
      </c>
      <c r="F217" s="10" t="str">
        <f t="shared" si="1"/>
        <v/>
      </c>
    </row>
    <row r="218">
      <c r="A218" s="22"/>
      <c r="C218" s="10"/>
      <c r="D218" s="19" t="str">
        <f>IFERROR(VLOOKUP(C218, 'Project Master'!A:B, 2, FALSE), "")</f>
        <v/>
      </c>
      <c r="F218" s="10" t="str">
        <f t="shared" si="1"/>
        <v/>
      </c>
    </row>
    <row r="219">
      <c r="A219" s="22"/>
      <c r="C219" s="10"/>
      <c r="D219" s="19" t="str">
        <f>IFERROR(VLOOKUP(C219, 'Project Master'!A:B, 2, FALSE), "")</f>
        <v/>
      </c>
      <c r="F219" s="10" t="str">
        <f t="shared" si="1"/>
        <v/>
      </c>
    </row>
    <row r="220">
      <c r="A220" s="22"/>
      <c r="C220" s="10"/>
      <c r="D220" s="19" t="str">
        <f>IFERROR(VLOOKUP(C220, 'Project Master'!A:B, 2, FALSE), "")</f>
        <v/>
      </c>
      <c r="F220" s="10" t="str">
        <f t="shared" si="1"/>
        <v/>
      </c>
    </row>
    <row r="221">
      <c r="A221" s="22"/>
      <c r="C221" s="10"/>
      <c r="D221" s="19" t="str">
        <f>IFERROR(VLOOKUP(C221, 'Project Master'!A:B, 2, FALSE), "")</f>
        <v/>
      </c>
      <c r="F221" s="10" t="str">
        <f t="shared" si="1"/>
        <v/>
      </c>
    </row>
    <row r="222">
      <c r="A222" s="22"/>
      <c r="C222" s="10"/>
      <c r="D222" s="19" t="str">
        <f>IFERROR(VLOOKUP(C222, 'Project Master'!A:B, 2, FALSE), "")</f>
        <v/>
      </c>
      <c r="F222" s="10" t="str">
        <f t="shared" si="1"/>
        <v/>
      </c>
    </row>
    <row r="223">
      <c r="A223" s="22"/>
      <c r="C223" s="10"/>
      <c r="D223" s="19" t="str">
        <f>IFERROR(VLOOKUP(C223, 'Project Master'!A:B, 2, FALSE), "")</f>
        <v/>
      </c>
      <c r="F223" s="10" t="str">
        <f t="shared" si="1"/>
        <v/>
      </c>
    </row>
    <row r="224">
      <c r="A224" s="22"/>
      <c r="C224" s="10"/>
      <c r="D224" s="19" t="str">
        <f>IFERROR(VLOOKUP(C224, 'Project Master'!A:B, 2, FALSE), "")</f>
        <v/>
      </c>
      <c r="F224" s="10" t="str">
        <f t="shared" si="1"/>
        <v/>
      </c>
    </row>
    <row r="225">
      <c r="A225" s="22"/>
      <c r="C225" s="10"/>
      <c r="D225" s="19" t="str">
        <f>IFERROR(VLOOKUP(C225, 'Project Master'!A:B, 2, FALSE), "")</f>
        <v/>
      </c>
      <c r="F225" s="10" t="str">
        <f t="shared" si="1"/>
        <v/>
      </c>
    </row>
    <row r="226">
      <c r="A226" s="22"/>
      <c r="C226" s="10"/>
      <c r="D226" s="19" t="str">
        <f>IFERROR(VLOOKUP(C226, 'Project Master'!A:B, 2, FALSE), "")</f>
        <v/>
      </c>
      <c r="F226" s="10" t="str">
        <f t="shared" si="1"/>
        <v/>
      </c>
    </row>
    <row r="227">
      <c r="A227" s="22"/>
      <c r="C227" s="10"/>
      <c r="D227" s="19" t="str">
        <f>IFERROR(VLOOKUP(C227, 'Project Master'!A:B, 2, FALSE), "")</f>
        <v/>
      </c>
      <c r="F227" s="10" t="str">
        <f t="shared" si="1"/>
        <v/>
      </c>
    </row>
    <row r="228">
      <c r="A228" s="22"/>
      <c r="C228" s="10"/>
      <c r="D228" s="19" t="str">
        <f>IFERROR(VLOOKUP(C228, 'Project Master'!A:B, 2, FALSE), "")</f>
        <v/>
      </c>
      <c r="F228" s="10" t="str">
        <f t="shared" si="1"/>
        <v/>
      </c>
    </row>
    <row r="229">
      <c r="A229" s="22"/>
      <c r="C229" s="10"/>
      <c r="D229" s="19" t="str">
        <f>IFERROR(VLOOKUP(C229, 'Project Master'!A:B, 2, FALSE), "")</f>
        <v/>
      </c>
      <c r="F229" s="10" t="str">
        <f t="shared" si="1"/>
        <v/>
      </c>
    </row>
    <row r="230">
      <c r="A230" s="22"/>
      <c r="C230" s="10"/>
      <c r="D230" s="19" t="str">
        <f>IFERROR(VLOOKUP(C230, 'Project Master'!A:B, 2, FALSE), "")</f>
        <v/>
      </c>
      <c r="F230" s="10" t="str">
        <f t="shared" si="1"/>
        <v/>
      </c>
    </row>
    <row r="231">
      <c r="A231" s="22"/>
      <c r="C231" s="10"/>
      <c r="D231" s="19" t="str">
        <f>IFERROR(VLOOKUP(C231, 'Project Master'!A:B, 2, FALSE), "")</f>
        <v/>
      </c>
      <c r="F231" s="10" t="str">
        <f t="shared" si="1"/>
        <v/>
      </c>
    </row>
    <row r="232">
      <c r="A232" s="22"/>
      <c r="C232" s="10"/>
      <c r="D232" s="19" t="str">
        <f>IFERROR(VLOOKUP(C232, 'Project Master'!A:B, 2, FALSE), "")</f>
        <v/>
      </c>
      <c r="F232" s="10" t="str">
        <f t="shared" si="1"/>
        <v/>
      </c>
    </row>
    <row r="233">
      <c r="A233" s="22"/>
      <c r="C233" s="10"/>
      <c r="D233" s="19" t="str">
        <f>IFERROR(VLOOKUP(C233, 'Project Master'!A:B, 2, FALSE), "")</f>
        <v/>
      </c>
      <c r="F233" s="10" t="str">
        <f t="shared" si="1"/>
        <v/>
      </c>
    </row>
    <row r="234">
      <c r="A234" s="22"/>
      <c r="C234" s="10"/>
      <c r="D234" s="19" t="str">
        <f>IFERROR(VLOOKUP(C234, 'Project Master'!A:B, 2, FALSE), "")</f>
        <v/>
      </c>
      <c r="F234" s="10" t="str">
        <f t="shared" si="1"/>
        <v/>
      </c>
    </row>
    <row r="235">
      <c r="A235" s="22"/>
      <c r="C235" s="10"/>
      <c r="D235" s="19" t="str">
        <f>IFERROR(VLOOKUP(C235, 'Project Master'!A:B, 2, FALSE), "")</f>
        <v/>
      </c>
      <c r="F235" s="10" t="str">
        <f t="shared" si="1"/>
        <v/>
      </c>
    </row>
    <row r="236">
      <c r="A236" s="22"/>
      <c r="C236" s="10"/>
      <c r="D236" s="19" t="str">
        <f>IFERROR(VLOOKUP(C236, 'Project Master'!A:B, 2, FALSE), "")</f>
        <v/>
      </c>
      <c r="F236" s="10" t="str">
        <f t="shared" si="1"/>
        <v/>
      </c>
    </row>
    <row r="237">
      <c r="A237" s="22"/>
      <c r="C237" s="10"/>
      <c r="D237" s="19" t="str">
        <f>IFERROR(VLOOKUP(C237, 'Project Master'!A:B, 2, FALSE), "")</f>
        <v/>
      </c>
      <c r="F237" s="10" t="str">
        <f t="shared" si="1"/>
        <v/>
      </c>
    </row>
    <row r="238">
      <c r="A238" s="22"/>
      <c r="C238" s="10"/>
      <c r="D238" s="19" t="str">
        <f>IFERROR(VLOOKUP(C238, 'Project Master'!A:B, 2, FALSE), "")</f>
        <v/>
      </c>
      <c r="F238" s="10" t="str">
        <f t="shared" si="1"/>
        <v/>
      </c>
    </row>
    <row r="239">
      <c r="A239" s="22"/>
      <c r="C239" s="10"/>
      <c r="D239" s="19" t="str">
        <f>IFERROR(VLOOKUP(C239, 'Project Master'!A:B, 2, FALSE), "")</f>
        <v/>
      </c>
      <c r="F239" s="10" t="str">
        <f t="shared" si="1"/>
        <v/>
      </c>
    </row>
    <row r="240">
      <c r="A240" s="22"/>
      <c r="C240" s="10"/>
      <c r="D240" s="19" t="str">
        <f>IFERROR(VLOOKUP(C240, 'Project Master'!A:B, 2, FALSE), "")</f>
        <v/>
      </c>
      <c r="F240" s="10" t="str">
        <f t="shared" si="1"/>
        <v/>
      </c>
    </row>
    <row r="241">
      <c r="A241" s="22"/>
      <c r="C241" s="10"/>
      <c r="D241" s="19" t="str">
        <f>IFERROR(VLOOKUP(C241, 'Project Master'!A:B, 2, FALSE), "")</f>
        <v/>
      </c>
      <c r="F241" s="10" t="str">
        <f t="shared" si="1"/>
        <v/>
      </c>
    </row>
    <row r="242">
      <c r="A242" s="22"/>
      <c r="C242" s="10"/>
      <c r="D242" s="19" t="str">
        <f>IFERROR(VLOOKUP(C242, 'Project Master'!A:B, 2, FALSE), "")</f>
        <v/>
      </c>
      <c r="F242" s="10" t="str">
        <f t="shared" si="1"/>
        <v/>
      </c>
    </row>
    <row r="243">
      <c r="A243" s="22"/>
      <c r="C243" s="10"/>
      <c r="D243" s="19" t="str">
        <f>IFERROR(VLOOKUP(C243, 'Project Master'!A:B, 2, FALSE), "")</f>
        <v/>
      </c>
      <c r="F243" s="10" t="str">
        <f t="shared" si="1"/>
        <v/>
      </c>
    </row>
    <row r="244">
      <c r="A244" s="22"/>
      <c r="C244" s="10"/>
      <c r="D244" s="19" t="str">
        <f>IFERROR(VLOOKUP(C244, 'Project Master'!A:B, 2, FALSE), "")</f>
        <v/>
      </c>
      <c r="F244" s="10" t="str">
        <f t="shared" si="1"/>
        <v/>
      </c>
    </row>
    <row r="245">
      <c r="A245" s="22"/>
      <c r="C245" s="10"/>
      <c r="D245" s="19" t="str">
        <f>IFERROR(VLOOKUP(C245, 'Project Master'!A:B, 2, FALSE), "")</f>
        <v/>
      </c>
      <c r="F245" s="10" t="str">
        <f t="shared" si="1"/>
        <v/>
      </c>
    </row>
    <row r="246">
      <c r="A246" s="22"/>
      <c r="C246" s="10"/>
      <c r="D246" s="19" t="str">
        <f>IFERROR(VLOOKUP(C246, 'Project Master'!A:B, 2, FALSE), "")</f>
        <v/>
      </c>
      <c r="F246" s="10" t="str">
        <f t="shared" si="1"/>
        <v/>
      </c>
    </row>
    <row r="247">
      <c r="A247" s="22"/>
      <c r="C247" s="10"/>
      <c r="D247" s="19" t="str">
        <f>IFERROR(VLOOKUP(C247, 'Project Master'!A:B, 2, FALSE), "")</f>
        <v/>
      </c>
      <c r="F247" s="10" t="str">
        <f t="shared" si="1"/>
        <v/>
      </c>
    </row>
    <row r="248">
      <c r="A248" s="22"/>
      <c r="C248" s="10"/>
      <c r="D248" s="19" t="str">
        <f>IFERROR(VLOOKUP(C248, 'Project Master'!A:B, 2, FALSE), "")</f>
        <v/>
      </c>
      <c r="F248" s="10" t="str">
        <f t="shared" si="1"/>
        <v/>
      </c>
    </row>
    <row r="249">
      <c r="A249" s="22"/>
      <c r="C249" s="10"/>
      <c r="D249" s="19" t="str">
        <f>IFERROR(VLOOKUP(C249, 'Project Master'!A:B, 2, FALSE), "")</f>
        <v/>
      </c>
      <c r="F249" s="10" t="str">
        <f t="shared" si="1"/>
        <v/>
      </c>
    </row>
    <row r="250">
      <c r="A250" s="22"/>
      <c r="C250" s="10"/>
      <c r="D250" s="19" t="str">
        <f>IFERROR(VLOOKUP(C250, 'Project Master'!A:B, 2, FALSE), "")</f>
        <v/>
      </c>
      <c r="F250" s="10" t="str">
        <f t="shared" si="1"/>
        <v/>
      </c>
    </row>
    <row r="251">
      <c r="A251" s="22"/>
      <c r="C251" s="10"/>
      <c r="D251" s="19" t="str">
        <f>IFERROR(VLOOKUP(C251, 'Project Master'!A:B, 2, FALSE), "")</f>
        <v/>
      </c>
      <c r="F251" s="10" t="str">
        <f t="shared" si="1"/>
        <v/>
      </c>
    </row>
    <row r="252">
      <c r="A252" s="22"/>
      <c r="C252" s="10"/>
      <c r="D252" s="19" t="str">
        <f>IFERROR(VLOOKUP(C252, 'Project Master'!A:B, 2, FALSE), "")</f>
        <v/>
      </c>
      <c r="F252" s="10" t="str">
        <f t="shared" si="1"/>
        <v/>
      </c>
    </row>
    <row r="253">
      <c r="A253" s="22"/>
      <c r="C253" s="10"/>
      <c r="D253" s="19" t="str">
        <f>IFERROR(VLOOKUP(C253, 'Project Master'!A:B, 2, FALSE), "")</f>
        <v/>
      </c>
      <c r="F253" s="10" t="str">
        <f t="shared" si="1"/>
        <v/>
      </c>
    </row>
    <row r="254">
      <c r="A254" s="22"/>
      <c r="C254" s="10"/>
      <c r="D254" s="19" t="str">
        <f>IFERROR(VLOOKUP(C254, 'Project Master'!A:B, 2, FALSE), "")</f>
        <v/>
      </c>
      <c r="F254" s="10" t="str">
        <f t="shared" si="1"/>
        <v/>
      </c>
    </row>
    <row r="255">
      <c r="A255" s="22"/>
      <c r="C255" s="10"/>
      <c r="D255" s="19" t="str">
        <f>IFERROR(VLOOKUP(C255, 'Project Master'!A:B, 2, FALSE), "")</f>
        <v/>
      </c>
      <c r="F255" s="10" t="str">
        <f t="shared" si="1"/>
        <v/>
      </c>
    </row>
    <row r="256">
      <c r="A256" s="22"/>
      <c r="C256" s="10"/>
      <c r="D256" s="19" t="str">
        <f>IFERROR(VLOOKUP(C256, 'Project Master'!A:B, 2, FALSE), "")</f>
        <v/>
      </c>
      <c r="F256" s="10" t="str">
        <f t="shared" si="1"/>
        <v/>
      </c>
    </row>
    <row r="257">
      <c r="A257" s="22"/>
      <c r="C257" s="10"/>
      <c r="D257" s="19" t="str">
        <f>IFERROR(VLOOKUP(C257, 'Project Master'!A:B, 2, FALSE), "")</f>
        <v/>
      </c>
      <c r="F257" s="10" t="str">
        <f t="shared" si="1"/>
        <v/>
      </c>
    </row>
    <row r="258">
      <c r="A258" s="22"/>
      <c r="C258" s="10"/>
      <c r="D258" s="19" t="str">
        <f>IFERROR(VLOOKUP(C258, 'Project Master'!A:B, 2, FALSE), "")</f>
        <v/>
      </c>
      <c r="F258" s="10" t="str">
        <f t="shared" si="1"/>
        <v/>
      </c>
    </row>
    <row r="259">
      <c r="A259" s="22"/>
      <c r="C259" s="10"/>
      <c r="D259" s="19" t="str">
        <f>IFERROR(VLOOKUP(C259, 'Project Master'!A:B, 2, FALSE), "")</f>
        <v/>
      </c>
      <c r="F259" s="10" t="str">
        <f t="shared" si="1"/>
        <v/>
      </c>
    </row>
    <row r="260">
      <c r="A260" s="22"/>
      <c r="C260" s="10"/>
      <c r="D260" s="19" t="str">
        <f>IFERROR(VLOOKUP(C260, 'Project Master'!A:B, 2, FALSE), "")</f>
        <v/>
      </c>
      <c r="F260" s="10" t="str">
        <f t="shared" si="1"/>
        <v/>
      </c>
    </row>
    <row r="261">
      <c r="A261" s="22"/>
      <c r="C261" s="10"/>
      <c r="D261" s="19" t="str">
        <f>IFERROR(VLOOKUP(C261, 'Project Master'!A:B, 2, FALSE), "")</f>
        <v/>
      </c>
      <c r="F261" s="10" t="str">
        <f t="shared" si="1"/>
        <v/>
      </c>
    </row>
    <row r="262">
      <c r="A262" s="22"/>
      <c r="C262" s="10"/>
      <c r="D262" s="19" t="str">
        <f>IFERROR(VLOOKUP(C262, 'Project Master'!A:B, 2, FALSE), "")</f>
        <v/>
      </c>
      <c r="F262" s="10" t="str">
        <f t="shared" si="1"/>
        <v/>
      </c>
    </row>
    <row r="263">
      <c r="A263" s="22"/>
      <c r="C263" s="10"/>
      <c r="D263" s="19" t="str">
        <f>IFERROR(VLOOKUP(C263, 'Project Master'!A:B, 2, FALSE), "")</f>
        <v/>
      </c>
      <c r="F263" s="10" t="str">
        <f t="shared" si="1"/>
        <v/>
      </c>
    </row>
    <row r="264">
      <c r="A264" s="22"/>
      <c r="C264" s="10"/>
      <c r="D264" s="19" t="str">
        <f>IFERROR(VLOOKUP(C264, 'Project Master'!A:B, 2, FALSE), "")</f>
        <v/>
      </c>
      <c r="F264" s="10" t="str">
        <f t="shared" si="1"/>
        <v/>
      </c>
    </row>
    <row r="265">
      <c r="A265" s="22"/>
      <c r="C265" s="10"/>
      <c r="D265" s="19" t="str">
        <f>IFERROR(VLOOKUP(C265, 'Project Master'!A:B, 2, FALSE), "")</f>
        <v/>
      </c>
      <c r="F265" s="10" t="str">
        <f t="shared" si="1"/>
        <v/>
      </c>
    </row>
    <row r="266">
      <c r="A266" s="22"/>
      <c r="C266" s="10"/>
      <c r="D266" s="19" t="str">
        <f>IFERROR(VLOOKUP(C266, 'Project Master'!A:B, 2, FALSE), "")</f>
        <v/>
      </c>
      <c r="F266" s="10" t="str">
        <f t="shared" si="1"/>
        <v/>
      </c>
    </row>
    <row r="267">
      <c r="A267" s="22"/>
      <c r="C267" s="10"/>
      <c r="D267" s="19" t="str">
        <f>IFERROR(VLOOKUP(C267, 'Project Master'!A:B, 2, FALSE), "")</f>
        <v/>
      </c>
      <c r="F267" s="10" t="str">
        <f t="shared" si="1"/>
        <v/>
      </c>
    </row>
    <row r="268">
      <c r="A268" s="22"/>
      <c r="C268" s="10"/>
      <c r="D268" s="19" t="str">
        <f>IFERROR(VLOOKUP(C268, 'Project Master'!A:B, 2, FALSE), "")</f>
        <v/>
      </c>
      <c r="F268" s="10" t="str">
        <f t="shared" si="1"/>
        <v/>
      </c>
    </row>
    <row r="269">
      <c r="A269" s="22"/>
      <c r="C269" s="10"/>
      <c r="D269" s="19" t="str">
        <f>IFERROR(VLOOKUP(C269, 'Project Master'!A:B, 2, FALSE), "")</f>
        <v/>
      </c>
      <c r="F269" s="10" t="str">
        <f t="shared" si="1"/>
        <v/>
      </c>
    </row>
    <row r="270">
      <c r="A270" s="22"/>
      <c r="C270" s="10"/>
      <c r="D270" s="19" t="str">
        <f>IFERROR(VLOOKUP(C270, 'Project Master'!A:B, 2, FALSE), "")</f>
        <v/>
      </c>
      <c r="F270" s="10" t="str">
        <f t="shared" si="1"/>
        <v/>
      </c>
    </row>
    <row r="271">
      <c r="A271" s="22"/>
      <c r="C271" s="10"/>
      <c r="D271" s="19" t="str">
        <f>IFERROR(VLOOKUP(C271, 'Project Master'!A:B, 2, FALSE), "")</f>
        <v/>
      </c>
      <c r="F271" s="10" t="str">
        <f t="shared" si="1"/>
        <v/>
      </c>
    </row>
    <row r="272">
      <c r="A272" s="22"/>
      <c r="C272" s="10"/>
      <c r="D272" s="19" t="str">
        <f>IFERROR(VLOOKUP(C272, 'Project Master'!A:B, 2, FALSE), "")</f>
        <v/>
      </c>
      <c r="F272" s="10" t="str">
        <f t="shared" si="1"/>
        <v/>
      </c>
    </row>
    <row r="273">
      <c r="A273" s="22"/>
      <c r="C273" s="10"/>
      <c r="D273" s="19" t="str">
        <f>IFERROR(VLOOKUP(C273, 'Project Master'!A:B, 2, FALSE), "")</f>
        <v/>
      </c>
      <c r="F273" s="10" t="str">
        <f t="shared" si="1"/>
        <v/>
      </c>
    </row>
    <row r="274">
      <c r="A274" s="22"/>
      <c r="C274" s="10"/>
      <c r="D274" s="19" t="str">
        <f>IFERROR(VLOOKUP(C274, 'Project Master'!A:B, 2, FALSE), "")</f>
        <v/>
      </c>
      <c r="F274" s="10" t="str">
        <f t="shared" si="1"/>
        <v/>
      </c>
    </row>
    <row r="275">
      <c r="A275" s="22"/>
      <c r="C275" s="10"/>
      <c r="D275" s="19" t="str">
        <f>IFERROR(VLOOKUP(C275, 'Project Master'!A:B, 2, FALSE), "")</f>
        <v/>
      </c>
      <c r="F275" s="10" t="str">
        <f t="shared" si="1"/>
        <v/>
      </c>
    </row>
    <row r="276">
      <c r="A276" s="22"/>
      <c r="C276" s="10"/>
      <c r="D276" s="19" t="str">
        <f>IFERROR(VLOOKUP(C276, 'Project Master'!A:B, 2, FALSE), "")</f>
        <v/>
      </c>
      <c r="F276" s="10" t="str">
        <f t="shared" si="1"/>
        <v/>
      </c>
    </row>
    <row r="277">
      <c r="A277" s="22"/>
      <c r="C277" s="10"/>
      <c r="D277" s="19" t="str">
        <f>IFERROR(VLOOKUP(C277, 'Project Master'!A:B, 2, FALSE), "")</f>
        <v/>
      </c>
      <c r="F277" s="10" t="str">
        <f t="shared" si="1"/>
        <v/>
      </c>
    </row>
    <row r="278">
      <c r="A278" s="22"/>
      <c r="C278" s="10"/>
      <c r="D278" s="19" t="str">
        <f>IFERROR(VLOOKUP(C278, 'Project Master'!A:B, 2, FALSE), "")</f>
        <v/>
      </c>
      <c r="F278" s="10" t="str">
        <f t="shared" si="1"/>
        <v/>
      </c>
    </row>
    <row r="279">
      <c r="A279" s="22"/>
      <c r="C279" s="10"/>
      <c r="D279" s="19" t="str">
        <f>IFERROR(VLOOKUP(C279, 'Project Master'!A:B, 2, FALSE), "")</f>
        <v/>
      </c>
      <c r="F279" s="10" t="str">
        <f t="shared" si="1"/>
        <v/>
      </c>
    </row>
    <row r="280">
      <c r="A280" s="22"/>
      <c r="C280" s="10"/>
      <c r="D280" s="19" t="str">
        <f>IFERROR(VLOOKUP(C280, 'Project Master'!A:B, 2, FALSE), "")</f>
        <v/>
      </c>
      <c r="F280" s="10" t="str">
        <f t="shared" si="1"/>
        <v/>
      </c>
    </row>
    <row r="281">
      <c r="A281" s="22"/>
      <c r="C281" s="10"/>
      <c r="D281" s="19" t="str">
        <f>IFERROR(VLOOKUP(C281, 'Project Master'!A:B, 2, FALSE), "")</f>
        <v/>
      </c>
      <c r="F281" s="10" t="str">
        <f t="shared" si="1"/>
        <v/>
      </c>
    </row>
    <row r="282">
      <c r="A282" s="22"/>
      <c r="C282" s="10"/>
      <c r="D282" s="19" t="str">
        <f>IFERROR(VLOOKUP(C282, 'Project Master'!A:B, 2, FALSE), "")</f>
        <v/>
      </c>
      <c r="F282" s="10" t="str">
        <f t="shared" si="1"/>
        <v/>
      </c>
    </row>
    <row r="283">
      <c r="A283" s="22"/>
      <c r="C283" s="10"/>
      <c r="D283" s="19" t="str">
        <f>IFERROR(VLOOKUP(C283, 'Project Master'!A:B, 2, FALSE), "")</f>
        <v/>
      </c>
      <c r="F283" s="10" t="str">
        <f t="shared" si="1"/>
        <v/>
      </c>
    </row>
    <row r="284">
      <c r="A284" s="22"/>
      <c r="C284" s="10"/>
      <c r="D284" s="19" t="str">
        <f>IFERROR(VLOOKUP(C284, 'Project Master'!A:B, 2, FALSE), "")</f>
        <v/>
      </c>
      <c r="F284" s="10" t="str">
        <f t="shared" si="1"/>
        <v/>
      </c>
    </row>
    <row r="285">
      <c r="A285" s="22"/>
      <c r="C285" s="10"/>
      <c r="D285" s="19" t="str">
        <f>IFERROR(VLOOKUP(C285, 'Project Master'!A:B, 2, FALSE), "")</f>
        <v/>
      </c>
      <c r="F285" s="10" t="str">
        <f t="shared" si="1"/>
        <v/>
      </c>
    </row>
    <row r="286">
      <c r="A286" s="22"/>
      <c r="C286" s="10"/>
      <c r="D286" s="19" t="str">
        <f>IFERROR(VLOOKUP(C286, 'Project Master'!A:B, 2, FALSE), "")</f>
        <v/>
      </c>
      <c r="F286" s="10" t="str">
        <f t="shared" si="1"/>
        <v/>
      </c>
    </row>
    <row r="287">
      <c r="A287" s="22"/>
      <c r="C287" s="10"/>
      <c r="D287" s="19" t="str">
        <f>IFERROR(VLOOKUP(C287, 'Project Master'!A:B, 2, FALSE), "")</f>
        <v/>
      </c>
      <c r="F287" s="10" t="str">
        <f t="shared" si="1"/>
        <v/>
      </c>
    </row>
    <row r="288">
      <c r="A288" s="22"/>
      <c r="C288" s="10"/>
      <c r="D288" s="19" t="str">
        <f>IFERROR(VLOOKUP(C288, 'Project Master'!A:B, 2, FALSE), "")</f>
        <v/>
      </c>
      <c r="F288" s="10" t="str">
        <f t="shared" si="1"/>
        <v/>
      </c>
    </row>
    <row r="289">
      <c r="A289" s="22"/>
      <c r="C289" s="10"/>
      <c r="D289" s="19" t="str">
        <f>IFERROR(VLOOKUP(C289, 'Project Master'!A:B, 2, FALSE), "")</f>
        <v/>
      </c>
      <c r="F289" s="10" t="str">
        <f t="shared" si="1"/>
        <v/>
      </c>
    </row>
    <row r="290">
      <c r="A290" s="22"/>
      <c r="C290" s="10"/>
      <c r="D290" s="19" t="str">
        <f>IFERROR(VLOOKUP(C290, 'Project Master'!A:B, 2, FALSE), "")</f>
        <v/>
      </c>
      <c r="F290" s="10" t="str">
        <f t="shared" si="1"/>
        <v/>
      </c>
    </row>
    <row r="291">
      <c r="A291" s="22"/>
      <c r="C291" s="10"/>
      <c r="D291" s="19" t="str">
        <f>IFERROR(VLOOKUP(C291, 'Project Master'!A:B, 2, FALSE), "")</f>
        <v/>
      </c>
      <c r="F291" s="10" t="str">
        <f t="shared" si="1"/>
        <v/>
      </c>
    </row>
    <row r="292">
      <c r="A292" s="22"/>
      <c r="C292" s="10"/>
      <c r="D292" s="19" t="str">
        <f>IFERROR(VLOOKUP(C292, 'Project Master'!A:B, 2, FALSE), "")</f>
        <v/>
      </c>
      <c r="F292" s="10" t="str">
        <f t="shared" si="1"/>
        <v/>
      </c>
    </row>
    <row r="293">
      <c r="A293" s="22"/>
      <c r="C293" s="10"/>
      <c r="D293" s="19" t="str">
        <f>IFERROR(VLOOKUP(C293, 'Project Master'!A:B, 2, FALSE), "")</f>
        <v/>
      </c>
      <c r="F293" s="10" t="str">
        <f t="shared" si="1"/>
        <v/>
      </c>
    </row>
    <row r="294">
      <c r="A294" s="22"/>
      <c r="C294" s="10"/>
      <c r="D294" s="19" t="str">
        <f>IFERROR(VLOOKUP(C294, 'Project Master'!A:B, 2, FALSE), "")</f>
        <v/>
      </c>
      <c r="F294" s="10" t="str">
        <f t="shared" si="1"/>
        <v/>
      </c>
    </row>
    <row r="295">
      <c r="A295" s="22"/>
      <c r="C295" s="10"/>
      <c r="D295" s="19" t="str">
        <f>IFERROR(VLOOKUP(C295, 'Project Master'!A:B, 2, FALSE), "")</f>
        <v/>
      </c>
      <c r="F295" s="10" t="str">
        <f t="shared" si="1"/>
        <v/>
      </c>
    </row>
    <row r="296">
      <c r="A296" s="22"/>
      <c r="C296" s="10"/>
      <c r="D296" s="19" t="str">
        <f>IFERROR(VLOOKUP(C296, 'Project Master'!A:B, 2, FALSE), "")</f>
        <v/>
      </c>
      <c r="F296" s="10" t="str">
        <f t="shared" si="1"/>
        <v/>
      </c>
    </row>
    <row r="297">
      <c r="A297" s="22"/>
      <c r="C297" s="10"/>
      <c r="D297" s="19" t="str">
        <f>IFERROR(VLOOKUP(C297, 'Project Master'!A:B, 2, FALSE), "")</f>
        <v/>
      </c>
      <c r="F297" s="10" t="str">
        <f t="shared" si="1"/>
        <v/>
      </c>
    </row>
    <row r="298">
      <c r="A298" s="22"/>
      <c r="C298" s="10"/>
      <c r="D298" s="19" t="str">
        <f>IFERROR(VLOOKUP(C298, 'Project Master'!A:B, 2, FALSE), "")</f>
        <v/>
      </c>
      <c r="F298" s="10" t="str">
        <f t="shared" si="1"/>
        <v/>
      </c>
    </row>
    <row r="299">
      <c r="A299" s="22"/>
      <c r="C299" s="10"/>
      <c r="D299" s="19" t="str">
        <f>IFERROR(VLOOKUP(C299, 'Project Master'!A:B, 2, FALSE), "")</f>
        <v/>
      </c>
      <c r="F299" s="10" t="str">
        <f t="shared" si="1"/>
        <v/>
      </c>
    </row>
    <row r="300">
      <c r="A300" s="22"/>
      <c r="C300" s="10"/>
      <c r="D300" s="19" t="str">
        <f>IFERROR(VLOOKUP(C300, 'Project Master'!A:B, 2, FALSE), "")</f>
        <v/>
      </c>
      <c r="F300" s="10" t="str">
        <f t="shared" si="1"/>
        <v/>
      </c>
    </row>
    <row r="301">
      <c r="A301" s="22"/>
      <c r="C301" s="10"/>
      <c r="D301" s="19" t="str">
        <f>IFERROR(VLOOKUP(C301, 'Project Master'!A:B, 2, FALSE), "")</f>
        <v/>
      </c>
      <c r="F301" s="10" t="str">
        <f t="shared" si="1"/>
        <v/>
      </c>
    </row>
    <row r="302">
      <c r="A302" s="22"/>
      <c r="C302" s="10"/>
      <c r="D302" s="19" t="str">
        <f>IFERROR(VLOOKUP(C302, 'Project Master'!A:B, 2, FALSE), "")</f>
        <v/>
      </c>
      <c r="F302" s="10" t="str">
        <f t="shared" si="1"/>
        <v/>
      </c>
    </row>
    <row r="303">
      <c r="A303" s="22"/>
      <c r="C303" s="10"/>
      <c r="D303" s="19" t="str">
        <f>IFERROR(VLOOKUP(C303, 'Project Master'!A:B, 2, FALSE), "")</f>
        <v/>
      </c>
      <c r="F303" s="10" t="str">
        <f t="shared" si="1"/>
        <v/>
      </c>
    </row>
    <row r="304">
      <c r="A304" s="22"/>
      <c r="C304" s="10"/>
      <c r="D304" s="19" t="str">
        <f>IFERROR(VLOOKUP(C304, 'Project Master'!A:B, 2, FALSE), "")</f>
        <v/>
      </c>
      <c r="F304" s="10" t="str">
        <f t="shared" si="1"/>
        <v/>
      </c>
    </row>
    <row r="305">
      <c r="A305" s="22"/>
      <c r="C305" s="10"/>
      <c r="D305" s="19" t="str">
        <f>IFERROR(VLOOKUP(C305, 'Project Master'!A:B, 2, FALSE), "")</f>
        <v/>
      </c>
      <c r="F305" s="10" t="str">
        <f t="shared" si="1"/>
        <v/>
      </c>
    </row>
    <row r="306">
      <c r="A306" s="22"/>
      <c r="C306" s="10"/>
      <c r="D306" s="19" t="str">
        <f>IFERROR(VLOOKUP(C306, 'Project Master'!A:B, 2, FALSE), "")</f>
        <v/>
      </c>
      <c r="F306" s="10" t="str">
        <f t="shared" si="1"/>
        <v/>
      </c>
    </row>
    <row r="307">
      <c r="A307" s="22"/>
      <c r="C307" s="10"/>
      <c r="D307" s="19" t="str">
        <f>IFERROR(VLOOKUP(C307, 'Project Master'!A:B, 2, FALSE), "")</f>
        <v/>
      </c>
      <c r="F307" s="10" t="str">
        <f t="shared" si="1"/>
        <v/>
      </c>
    </row>
    <row r="308">
      <c r="A308" s="22"/>
      <c r="C308" s="10"/>
      <c r="D308" s="19" t="str">
        <f>IFERROR(VLOOKUP(C308, 'Project Master'!A:B, 2, FALSE), "")</f>
        <v/>
      </c>
      <c r="F308" s="10" t="str">
        <f t="shared" si="1"/>
        <v/>
      </c>
    </row>
    <row r="309">
      <c r="A309" s="22"/>
      <c r="C309" s="10"/>
      <c r="D309" s="19" t="str">
        <f>IFERROR(VLOOKUP(C309, 'Project Master'!A:B, 2, FALSE), "")</f>
        <v/>
      </c>
      <c r="F309" s="10" t="str">
        <f t="shared" si="1"/>
        <v/>
      </c>
    </row>
    <row r="310">
      <c r="A310" s="22"/>
      <c r="C310" s="10"/>
      <c r="D310" s="19" t="str">
        <f>IFERROR(VLOOKUP(C310, 'Project Master'!A:B, 2, FALSE), "")</f>
        <v/>
      </c>
      <c r="F310" s="10" t="str">
        <f t="shared" si="1"/>
        <v/>
      </c>
    </row>
    <row r="311">
      <c r="A311" s="22"/>
      <c r="C311" s="10"/>
      <c r="D311" s="19" t="str">
        <f>IFERROR(VLOOKUP(C311, 'Project Master'!A:B, 2, FALSE), "")</f>
        <v/>
      </c>
      <c r="F311" s="10" t="str">
        <f t="shared" si="1"/>
        <v/>
      </c>
    </row>
    <row r="312">
      <c r="A312" s="22"/>
      <c r="C312" s="10"/>
      <c r="D312" s="19" t="str">
        <f>IFERROR(VLOOKUP(C312, 'Project Master'!A:B, 2, FALSE), "")</f>
        <v/>
      </c>
      <c r="F312" s="10" t="str">
        <f t="shared" si="1"/>
        <v/>
      </c>
    </row>
    <row r="313">
      <c r="A313" s="22"/>
      <c r="C313" s="10"/>
      <c r="D313" s="19" t="str">
        <f>IFERROR(VLOOKUP(C313, 'Project Master'!A:B, 2, FALSE), "")</f>
        <v/>
      </c>
      <c r="F313" s="10" t="str">
        <f t="shared" si="1"/>
        <v/>
      </c>
    </row>
    <row r="314">
      <c r="A314" s="22"/>
      <c r="C314" s="10"/>
      <c r="D314" s="19" t="str">
        <f>IFERROR(VLOOKUP(C314, 'Project Master'!A:B, 2, FALSE), "")</f>
        <v/>
      </c>
      <c r="F314" s="10" t="str">
        <f t="shared" si="1"/>
        <v/>
      </c>
    </row>
    <row r="315">
      <c r="A315" s="22"/>
      <c r="C315" s="10"/>
      <c r="D315" s="19" t="str">
        <f>IFERROR(VLOOKUP(C315, 'Project Master'!A:B, 2, FALSE), "")</f>
        <v/>
      </c>
      <c r="F315" s="10" t="str">
        <f t="shared" si="1"/>
        <v/>
      </c>
    </row>
    <row r="316">
      <c r="A316" s="22"/>
      <c r="C316" s="10"/>
      <c r="D316" s="19" t="str">
        <f>IFERROR(VLOOKUP(C316, 'Project Master'!A:B, 2, FALSE), "")</f>
        <v/>
      </c>
      <c r="F316" s="10" t="str">
        <f t="shared" si="1"/>
        <v/>
      </c>
    </row>
    <row r="317">
      <c r="A317" s="22"/>
      <c r="C317" s="10"/>
      <c r="D317" s="19" t="str">
        <f>IFERROR(VLOOKUP(C317, 'Project Master'!A:B, 2, FALSE), "")</f>
        <v/>
      </c>
      <c r="F317" s="10" t="str">
        <f t="shared" si="1"/>
        <v/>
      </c>
    </row>
    <row r="318">
      <c r="A318" s="22"/>
      <c r="C318" s="10"/>
      <c r="D318" s="19" t="str">
        <f>IFERROR(VLOOKUP(C318, 'Project Master'!A:B, 2, FALSE), "")</f>
        <v/>
      </c>
      <c r="F318" s="10" t="str">
        <f t="shared" si="1"/>
        <v/>
      </c>
    </row>
    <row r="319">
      <c r="A319" s="22"/>
      <c r="C319" s="10"/>
      <c r="D319" s="19" t="str">
        <f>IFERROR(VLOOKUP(C319, 'Project Master'!A:B, 2, FALSE), "")</f>
        <v/>
      </c>
      <c r="F319" s="10" t="str">
        <f t="shared" si="1"/>
        <v/>
      </c>
    </row>
    <row r="320">
      <c r="A320" s="22"/>
      <c r="C320" s="10"/>
      <c r="D320" s="19" t="str">
        <f>IFERROR(VLOOKUP(C320, 'Project Master'!A:B, 2, FALSE), "")</f>
        <v/>
      </c>
      <c r="F320" s="10" t="str">
        <f t="shared" si="1"/>
        <v/>
      </c>
    </row>
    <row r="321">
      <c r="A321" s="22"/>
      <c r="C321" s="10"/>
      <c r="D321" s="19" t="str">
        <f>IFERROR(VLOOKUP(C321, 'Project Master'!A:B, 2, FALSE), "")</f>
        <v/>
      </c>
      <c r="F321" s="10" t="str">
        <f t="shared" si="1"/>
        <v/>
      </c>
    </row>
    <row r="322">
      <c r="A322" s="22"/>
      <c r="C322" s="10"/>
      <c r="D322" s="19" t="str">
        <f>IFERROR(VLOOKUP(C322, 'Project Master'!A:B, 2, FALSE), "")</f>
        <v/>
      </c>
      <c r="F322" s="10" t="str">
        <f t="shared" si="1"/>
        <v/>
      </c>
    </row>
    <row r="323">
      <c r="A323" s="22"/>
      <c r="C323" s="10"/>
      <c r="D323" s="19" t="str">
        <f>IFERROR(VLOOKUP(C323, 'Project Master'!A:B, 2, FALSE), "")</f>
        <v/>
      </c>
      <c r="F323" s="10" t="str">
        <f t="shared" si="1"/>
        <v/>
      </c>
    </row>
    <row r="324">
      <c r="A324" s="22"/>
      <c r="C324" s="10"/>
      <c r="D324" s="19" t="str">
        <f>IFERROR(VLOOKUP(C324, 'Project Master'!A:B, 2, FALSE), "")</f>
        <v/>
      </c>
      <c r="F324" s="10" t="str">
        <f t="shared" si="1"/>
        <v/>
      </c>
    </row>
    <row r="325">
      <c r="A325" s="22"/>
      <c r="C325" s="10"/>
      <c r="D325" s="19" t="str">
        <f>IFERROR(VLOOKUP(C325, 'Project Master'!A:B, 2, FALSE), "")</f>
        <v/>
      </c>
      <c r="F325" s="10" t="str">
        <f t="shared" si="1"/>
        <v/>
      </c>
    </row>
    <row r="326">
      <c r="A326" s="22"/>
      <c r="C326" s="10"/>
      <c r="D326" s="19" t="str">
        <f>IFERROR(VLOOKUP(C326, 'Project Master'!A:B, 2, FALSE), "")</f>
        <v/>
      </c>
      <c r="F326" s="10" t="str">
        <f t="shared" si="1"/>
        <v/>
      </c>
    </row>
    <row r="327">
      <c r="A327" s="22"/>
      <c r="C327" s="10"/>
      <c r="D327" s="19" t="str">
        <f>IFERROR(VLOOKUP(C327, 'Project Master'!A:B, 2, FALSE), "")</f>
        <v/>
      </c>
      <c r="F327" s="10" t="str">
        <f t="shared" si="1"/>
        <v/>
      </c>
    </row>
    <row r="328">
      <c r="A328" s="22"/>
      <c r="C328" s="10"/>
      <c r="D328" s="19" t="str">
        <f>IFERROR(VLOOKUP(C328, 'Project Master'!A:B, 2, FALSE), "")</f>
        <v/>
      </c>
      <c r="F328" s="10" t="str">
        <f t="shared" si="1"/>
        <v/>
      </c>
    </row>
    <row r="329">
      <c r="A329" s="22"/>
      <c r="C329" s="10"/>
      <c r="D329" s="19" t="str">
        <f>IFERROR(VLOOKUP(C329, 'Project Master'!A:B, 2, FALSE), "")</f>
        <v/>
      </c>
      <c r="F329" s="10" t="str">
        <f t="shared" si="1"/>
        <v/>
      </c>
    </row>
    <row r="330">
      <c r="A330" s="22"/>
      <c r="C330" s="10"/>
      <c r="D330" s="19" t="str">
        <f>IFERROR(VLOOKUP(C330, 'Project Master'!A:B, 2, FALSE), "")</f>
        <v/>
      </c>
      <c r="F330" s="10" t="str">
        <f t="shared" si="1"/>
        <v/>
      </c>
    </row>
    <row r="331">
      <c r="A331" s="22"/>
      <c r="C331" s="10"/>
      <c r="D331" s="19" t="str">
        <f>IFERROR(VLOOKUP(C331, 'Project Master'!A:B, 2, FALSE), "")</f>
        <v/>
      </c>
      <c r="F331" s="10" t="str">
        <f t="shared" si="1"/>
        <v/>
      </c>
    </row>
    <row r="332">
      <c r="A332" s="22"/>
      <c r="C332" s="10"/>
      <c r="D332" s="19" t="str">
        <f>IFERROR(VLOOKUP(C332, 'Project Master'!A:B, 2, FALSE), "")</f>
        <v/>
      </c>
      <c r="F332" s="10" t="str">
        <f t="shared" si="1"/>
        <v/>
      </c>
    </row>
    <row r="333">
      <c r="A333" s="22"/>
      <c r="C333" s="10"/>
      <c r="D333" s="19" t="str">
        <f>IFERROR(VLOOKUP(C333, 'Project Master'!A:B, 2, FALSE), "")</f>
        <v/>
      </c>
      <c r="F333" s="10" t="str">
        <f t="shared" si="1"/>
        <v/>
      </c>
    </row>
    <row r="334">
      <c r="A334" s="22"/>
      <c r="C334" s="10"/>
      <c r="D334" s="19" t="str">
        <f>IFERROR(VLOOKUP(C334, 'Project Master'!A:B, 2, FALSE), "")</f>
        <v/>
      </c>
      <c r="F334" s="10" t="str">
        <f t="shared" si="1"/>
        <v/>
      </c>
    </row>
    <row r="335">
      <c r="A335" s="22"/>
      <c r="C335" s="10"/>
      <c r="D335" s="19" t="str">
        <f>IFERROR(VLOOKUP(C335, 'Project Master'!A:B, 2, FALSE), "")</f>
        <v/>
      </c>
      <c r="F335" s="10" t="str">
        <f t="shared" si="1"/>
        <v/>
      </c>
    </row>
    <row r="336">
      <c r="A336" s="22"/>
      <c r="C336" s="10"/>
      <c r="D336" s="19" t="str">
        <f>IFERROR(VLOOKUP(C336, 'Project Master'!A:B, 2, FALSE), "")</f>
        <v/>
      </c>
      <c r="F336" s="10" t="str">
        <f t="shared" si="1"/>
        <v/>
      </c>
    </row>
    <row r="337">
      <c r="A337" s="22"/>
      <c r="C337" s="10"/>
      <c r="D337" s="19" t="str">
        <f>IFERROR(VLOOKUP(C337, 'Project Master'!A:B, 2, FALSE), "")</f>
        <v/>
      </c>
      <c r="F337" s="10" t="str">
        <f t="shared" si="1"/>
        <v/>
      </c>
    </row>
    <row r="338">
      <c r="A338" s="22"/>
      <c r="C338" s="10"/>
      <c r="D338" s="19" t="str">
        <f>IFERROR(VLOOKUP(C338, 'Project Master'!A:B, 2, FALSE), "")</f>
        <v/>
      </c>
      <c r="F338" s="10" t="str">
        <f t="shared" si="1"/>
        <v/>
      </c>
    </row>
    <row r="339">
      <c r="A339" s="22"/>
      <c r="C339" s="10"/>
      <c r="D339" s="19" t="str">
        <f>IFERROR(VLOOKUP(C339, 'Project Master'!A:B, 2, FALSE), "")</f>
        <v/>
      </c>
      <c r="F339" s="10" t="str">
        <f t="shared" si="1"/>
        <v/>
      </c>
    </row>
    <row r="340">
      <c r="A340" s="22"/>
      <c r="C340" s="10"/>
      <c r="D340" s="19" t="str">
        <f>IFERROR(VLOOKUP(C340, 'Project Master'!A:B, 2, FALSE), "")</f>
        <v/>
      </c>
      <c r="F340" s="10" t="str">
        <f t="shared" si="1"/>
        <v/>
      </c>
    </row>
    <row r="341">
      <c r="A341" s="22"/>
      <c r="C341" s="10"/>
      <c r="D341" s="19" t="str">
        <f>IFERROR(VLOOKUP(C341, 'Project Master'!A:B, 2, FALSE), "")</f>
        <v/>
      </c>
      <c r="F341" s="10" t="str">
        <f t="shared" si="1"/>
        <v/>
      </c>
    </row>
    <row r="342">
      <c r="A342" s="22"/>
      <c r="C342" s="10"/>
      <c r="D342" s="19" t="str">
        <f>IFERROR(VLOOKUP(C342, 'Project Master'!A:B, 2, FALSE), "")</f>
        <v/>
      </c>
      <c r="F342" s="10" t="str">
        <f t="shared" si="1"/>
        <v/>
      </c>
    </row>
    <row r="343">
      <c r="A343" s="22"/>
      <c r="C343" s="10"/>
      <c r="D343" s="19" t="str">
        <f>IFERROR(VLOOKUP(C343, 'Project Master'!A:B, 2, FALSE), "")</f>
        <v/>
      </c>
      <c r="F343" s="10" t="str">
        <f t="shared" si="1"/>
        <v/>
      </c>
    </row>
    <row r="344">
      <c r="A344" s="22"/>
      <c r="C344" s="10"/>
      <c r="D344" s="19" t="str">
        <f>IFERROR(VLOOKUP(C344, 'Project Master'!A:B, 2, FALSE), "")</f>
        <v/>
      </c>
      <c r="F344" s="10" t="str">
        <f t="shared" si="1"/>
        <v/>
      </c>
    </row>
    <row r="345">
      <c r="A345" s="22"/>
      <c r="C345" s="10"/>
      <c r="D345" s="19" t="str">
        <f>IFERROR(VLOOKUP(C345, 'Project Master'!A:B, 2, FALSE), "")</f>
        <v/>
      </c>
      <c r="F345" s="10" t="str">
        <f t="shared" si="1"/>
        <v/>
      </c>
    </row>
    <row r="346">
      <c r="A346" s="22"/>
      <c r="C346" s="10"/>
      <c r="D346" s="19" t="str">
        <f>IFERROR(VLOOKUP(C346, 'Project Master'!A:B, 2, FALSE), "")</f>
        <v/>
      </c>
      <c r="F346" s="10" t="str">
        <f t="shared" si="1"/>
        <v/>
      </c>
    </row>
    <row r="347">
      <c r="A347" s="22"/>
      <c r="C347" s="10"/>
      <c r="D347" s="19" t="str">
        <f>IFERROR(VLOOKUP(C347, 'Project Master'!A:B, 2, FALSE), "")</f>
        <v/>
      </c>
      <c r="F347" s="10" t="str">
        <f t="shared" si="1"/>
        <v/>
      </c>
    </row>
    <row r="348">
      <c r="A348" s="22"/>
      <c r="C348" s="10"/>
      <c r="D348" s="19" t="str">
        <f>IFERROR(VLOOKUP(C348, 'Project Master'!A:B, 2, FALSE), "")</f>
        <v/>
      </c>
      <c r="F348" s="10" t="str">
        <f t="shared" si="1"/>
        <v/>
      </c>
    </row>
    <row r="349">
      <c r="A349" s="22"/>
      <c r="C349" s="10"/>
      <c r="D349" s="19" t="str">
        <f>IFERROR(VLOOKUP(C349, 'Project Master'!A:B, 2, FALSE), "")</f>
        <v/>
      </c>
      <c r="F349" s="10" t="str">
        <f t="shared" si="1"/>
        <v/>
      </c>
    </row>
    <row r="350">
      <c r="A350" s="22"/>
      <c r="C350" s="10"/>
      <c r="D350" s="19" t="str">
        <f>IFERROR(VLOOKUP(C350, 'Project Master'!A:B, 2, FALSE), "")</f>
        <v/>
      </c>
      <c r="F350" s="10" t="str">
        <f t="shared" si="1"/>
        <v/>
      </c>
    </row>
    <row r="351">
      <c r="A351" s="22"/>
      <c r="C351" s="10"/>
      <c r="D351" s="19" t="str">
        <f>IFERROR(VLOOKUP(C351, 'Project Master'!A:B, 2, FALSE), "")</f>
        <v/>
      </c>
      <c r="F351" s="10" t="str">
        <f t="shared" si="1"/>
        <v/>
      </c>
    </row>
    <row r="352">
      <c r="A352" s="22"/>
      <c r="C352" s="10"/>
      <c r="D352" s="19" t="str">
        <f>IFERROR(VLOOKUP(C352, 'Project Master'!A:B, 2, FALSE), "")</f>
        <v/>
      </c>
      <c r="F352" s="10" t="str">
        <f t="shared" si="1"/>
        <v/>
      </c>
    </row>
    <row r="353">
      <c r="A353" s="22"/>
      <c r="C353" s="10"/>
      <c r="D353" s="19" t="str">
        <f>IFERROR(VLOOKUP(C353, 'Project Master'!A:B, 2, FALSE), "")</f>
        <v/>
      </c>
      <c r="F353" s="10" t="str">
        <f t="shared" si="1"/>
        <v/>
      </c>
    </row>
    <row r="354">
      <c r="A354" s="22"/>
      <c r="C354" s="10"/>
      <c r="D354" s="19" t="str">
        <f>IFERROR(VLOOKUP(C354, 'Project Master'!A:B, 2, FALSE), "")</f>
        <v/>
      </c>
      <c r="F354" s="10" t="str">
        <f t="shared" si="1"/>
        <v/>
      </c>
    </row>
    <row r="355">
      <c r="A355" s="22"/>
      <c r="C355" s="10"/>
      <c r="D355" s="19" t="str">
        <f>IFERROR(VLOOKUP(C355, 'Project Master'!A:B, 2, FALSE), "")</f>
        <v/>
      </c>
      <c r="F355" s="10" t="str">
        <f t="shared" si="1"/>
        <v/>
      </c>
    </row>
    <row r="356">
      <c r="A356" s="22"/>
      <c r="C356" s="10"/>
      <c r="D356" s="19" t="str">
        <f>IFERROR(VLOOKUP(C356, 'Project Master'!A:B, 2, FALSE), "")</f>
        <v/>
      </c>
      <c r="F356" s="10" t="str">
        <f t="shared" si="1"/>
        <v/>
      </c>
    </row>
    <row r="357">
      <c r="A357" s="22"/>
      <c r="C357" s="10"/>
      <c r="D357" s="19" t="str">
        <f>IFERROR(VLOOKUP(C357, 'Project Master'!A:B, 2, FALSE), "")</f>
        <v/>
      </c>
      <c r="F357" s="10" t="str">
        <f t="shared" si="1"/>
        <v/>
      </c>
    </row>
    <row r="358">
      <c r="A358" s="22"/>
      <c r="C358" s="10"/>
      <c r="D358" s="19" t="str">
        <f>IFERROR(VLOOKUP(C358, 'Project Master'!A:B, 2, FALSE), "")</f>
        <v/>
      </c>
      <c r="F358" s="10" t="str">
        <f t="shared" si="1"/>
        <v/>
      </c>
    </row>
    <row r="359">
      <c r="A359" s="22"/>
      <c r="C359" s="10"/>
      <c r="D359" s="19" t="str">
        <f>IFERROR(VLOOKUP(C359, 'Project Master'!A:B, 2, FALSE), "")</f>
        <v/>
      </c>
      <c r="F359" s="10" t="str">
        <f t="shared" si="1"/>
        <v/>
      </c>
    </row>
    <row r="360">
      <c r="A360" s="22"/>
      <c r="C360" s="10"/>
      <c r="D360" s="19" t="str">
        <f>IFERROR(VLOOKUP(C360, 'Project Master'!A:B, 2, FALSE), "")</f>
        <v/>
      </c>
      <c r="F360" s="10" t="str">
        <f t="shared" si="1"/>
        <v/>
      </c>
    </row>
    <row r="361">
      <c r="A361" s="22"/>
      <c r="C361" s="10"/>
      <c r="D361" s="19" t="str">
        <f>IFERROR(VLOOKUP(C361, 'Project Master'!A:B, 2, FALSE), "")</f>
        <v/>
      </c>
      <c r="F361" s="10" t="str">
        <f t="shared" si="1"/>
        <v/>
      </c>
    </row>
    <row r="362">
      <c r="A362" s="22"/>
      <c r="C362" s="10"/>
      <c r="D362" s="19" t="str">
        <f>IFERROR(VLOOKUP(C362, 'Project Master'!A:B, 2, FALSE), "")</f>
        <v/>
      </c>
      <c r="F362" s="10" t="str">
        <f t="shared" si="1"/>
        <v/>
      </c>
    </row>
    <row r="363">
      <c r="A363" s="22"/>
      <c r="C363" s="10"/>
      <c r="D363" s="19" t="str">
        <f>IFERROR(VLOOKUP(C363, 'Project Master'!A:B, 2, FALSE), "")</f>
        <v/>
      </c>
      <c r="F363" s="10" t="str">
        <f t="shared" si="1"/>
        <v/>
      </c>
    </row>
    <row r="364">
      <c r="A364" s="22"/>
      <c r="C364" s="10"/>
      <c r="D364" s="19" t="str">
        <f>IFERROR(VLOOKUP(C364, 'Project Master'!A:B, 2, FALSE), "")</f>
        <v/>
      </c>
      <c r="F364" s="10" t="str">
        <f t="shared" si="1"/>
        <v/>
      </c>
    </row>
    <row r="365">
      <c r="A365" s="22"/>
      <c r="C365" s="10"/>
      <c r="D365" s="19" t="str">
        <f>IFERROR(VLOOKUP(C365, 'Project Master'!A:B, 2, FALSE), "")</f>
        <v/>
      </c>
      <c r="F365" s="10" t="str">
        <f t="shared" si="1"/>
        <v/>
      </c>
    </row>
    <row r="366">
      <c r="A366" s="22"/>
      <c r="C366" s="10"/>
      <c r="D366" s="19" t="str">
        <f>IFERROR(VLOOKUP(C366, 'Project Master'!A:B, 2, FALSE), "")</f>
        <v/>
      </c>
      <c r="F366" s="10" t="str">
        <f t="shared" si="1"/>
        <v/>
      </c>
    </row>
    <row r="367">
      <c r="A367" s="22"/>
      <c r="C367" s="10"/>
      <c r="D367" s="19" t="str">
        <f>IFERROR(VLOOKUP(C367, 'Project Master'!A:B, 2, FALSE), "")</f>
        <v/>
      </c>
      <c r="F367" s="10" t="str">
        <f t="shared" si="1"/>
        <v/>
      </c>
    </row>
    <row r="368">
      <c r="A368" s="22"/>
      <c r="C368" s="10"/>
      <c r="D368" s="19" t="str">
        <f>IFERROR(VLOOKUP(C368, 'Project Master'!A:B, 2, FALSE), "")</f>
        <v/>
      </c>
      <c r="F368" s="10" t="str">
        <f t="shared" si="1"/>
        <v/>
      </c>
    </row>
    <row r="369">
      <c r="A369" s="22"/>
      <c r="C369" s="10"/>
      <c r="D369" s="19" t="str">
        <f>IFERROR(VLOOKUP(C369, 'Project Master'!A:B, 2, FALSE), "")</f>
        <v/>
      </c>
      <c r="F369" s="10" t="str">
        <f t="shared" si="1"/>
        <v/>
      </c>
    </row>
    <row r="370">
      <c r="A370" s="22"/>
      <c r="C370" s="10"/>
      <c r="D370" s="19" t="str">
        <f>IFERROR(VLOOKUP(C370, 'Project Master'!A:B, 2, FALSE), "")</f>
        <v/>
      </c>
      <c r="F370" s="10" t="str">
        <f t="shared" si="1"/>
        <v/>
      </c>
    </row>
    <row r="371">
      <c r="A371" s="22"/>
      <c r="C371" s="10"/>
      <c r="D371" s="19" t="str">
        <f>IFERROR(VLOOKUP(C371, 'Project Master'!A:B, 2, FALSE), "")</f>
        <v/>
      </c>
      <c r="F371" s="10" t="str">
        <f t="shared" si="1"/>
        <v/>
      </c>
    </row>
    <row r="372">
      <c r="A372" s="22"/>
      <c r="C372" s="10"/>
      <c r="D372" s="19" t="str">
        <f>IFERROR(VLOOKUP(C372, 'Project Master'!A:B, 2, FALSE), "")</f>
        <v/>
      </c>
      <c r="F372" s="10" t="str">
        <f t="shared" si="1"/>
        <v/>
      </c>
    </row>
    <row r="373">
      <c r="A373" s="22"/>
      <c r="C373" s="10"/>
      <c r="D373" s="19" t="str">
        <f>IFERROR(VLOOKUP(C373, 'Project Master'!A:B, 2, FALSE), "")</f>
        <v/>
      </c>
      <c r="F373" s="10" t="str">
        <f t="shared" si="1"/>
        <v/>
      </c>
    </row>
    <row r="374">
      <c r="A374" s="22"/>
      <c r="C374" s="10"/>
      <c r="D374" s="19" t="str">
        <f>IFERROR(VLOOKUP(C374, 'Project Master'!A:B, 2, FALSE), "")</f>
        <v/>
      </c>
      <c r="F374" s="10" t="str">
        <f t="shared" si="1"/>
        <v/>
      </c>
    </row>
    <row r="375">
      <c r="A375" s="22"/>
      <c r="C375" s="10"/>
      <c r="D375" s="19" t="str">
        <f>IFERROR(VLOOKUP(C375, 'Project Master'!A:B, 2, FALSE), "")</f>
        <v/>
      </c>
      <c r="F375" s="10" t="str">
        <f t="shared" si="1"/>
        <v/>
      </c>
    </row>
    <row r="376">
      <c r="A376" s="22"/>
      <c r="C376" s="10"/>
      <c r="D376" s="19" t="str">
        <f>IFERROR(VLOOKUP(C376, 'Project Master'!A:B, 2, FALSE), "")</f>
        <v/>
      </c>
      <c r="F376" s="10" t="str">
        <f t="shared" si="1"/>
        <v/>
      </c>
    </row>
    <row r="377">
      <c r="A377" s="22"/>
      <c r="C377" s="10"/>
      <c r="D377" s="19" t="str">
        <f>IFERROR(VLOOKUP(C377, 'Project Master'!A:B, 2, FALSE), "")</f>
        <v/>
      </c>
      <c r="F377" s="10" t="str">
        <f t="shared" si="1"/>
        <v/>
      </c>
    </row>
    <row r="378">
      <c r="A378" s="22"/>
      <c r="C378" s="10"/>
      <c r="D378" s="19" t="str">
        <f>IFERROR(VLOOKUP(C378, 'Project Master'!A:B, 2, FALSE), "")</f>
        <v/>
      </c>
      <c r="F378" s="10" t="str">
        <f t="shared" si="1"/>
        <v/>
      </c>
    </row>
    <row r="379">
      <c r="A379" s="22"/>
      <c r="C379" s="10"/>
      <c r="D379" s="19" t="str">
        <f>IFERROR(VLOOKUP(C379, 'Project Master'!A:B, 2, FALSE), "")</f>
        <v/>
      </c>
      <c r="F379" s="10" t="str">
        <f t="shared" si="1"/>
        <v/>
      </c>
    </row>
    <row r="380">
      <c r="A380" s="22"/>
      <c r="C380" s="10"/>
      <c r="D380" s="19" t="str">
        <f>IFERROR(VLOOKUP(C380, 'Project Master'!A:B, 2, FALSE), "")</f>
        <v/>
      </c>
      <c r="F380" s="10" t="str">
        <f t="shared" si="1"/>
        <v/>
      </c>
    </row>
    <row r="381">
      <c r="A381" s="22"/>
      <c r="C381" s="10"/>
      <c r="D381" s="19" t="str">
        <f>IFERROR(VLOOKUP(C381, 'Project Master'!A:B, 2, FALSE), "")</f>
        <v/>
      </c>
      <c r="F381" s="10" t="str">
        <f t="shared" si="1"/>
        <v/>
      </c>
    </row>
    <row r="382">
      <c r="A382" s="22"/>
      <c r="C382" s="10"/>
      <c r="D382" s="19" t="str">
        <f>IFERROR(VLOOKUP(C382, 'Project Master'!A:B, 2, FALSE), "")</f>
        <v/>
      </c>
      <c r="F382" s="10" t="str">
        <f t="shared" si="1"/>
        <v/>
      </c>
    </row>
    <row r="383">
      <c r="A383" s="22"/>
      <c r="C383" s="10"/>
      <c r="D383" s="19" t="str">
        <f>IFERROR(VLOOKUP(C383, 'Project Master'!A:B, 2, FALSE), "")</f>
        <v/>
      </c>
      <c r="F383" s="10" t="str">
        <f t="shared" si="1"/>
        <v/>
      </c>
    </row>
    <row r="384">
      <c r="A384" s="22"/>
      <c r="C384" s="10"/>
      <c r="D384" s="19" t="str">
        <f>IFERROR(VLOOKUP(C384, 'Project Master'!A:B, 2, FALSE), "")</f>
        <v/>
      </c>
      <c r="F384" s="10" t="str">
        <f t="shared" si="1"/>
        <v/>
      </c>
    </row>
    <row r="385">
      <c r="A385" s="22"/>
      <c r="C385" s="10"/>
      <c r="D385" s="19" t="str">
        <f>IFERROR(VLOOKUP(C385, 'Project Master'!A:B, 2, FALSE), "")</f>
        <v/>
      </c>
      <c r="F385" s="10" t="str">
        <f t="shared" si="1"/>
        <v/>
      </c>
    </row>
    <row r="386">
      <c r="A386" s="22"/>
      <c r="C386" s="10"/>
      <c r="D386" s="19" t="str">
        <f>IFERROR(VLOOKUP(C386, 'Project Master'!A:B, 2, FALSE), "")</f>
        <v/>
      </c>
      <c r="F386" s="10" t="str">
        <f t="shared" si="1"/>
        <v/>
      </c>
    </row>
    <row r="387">
      <c r="A387" s="22"/>
      <c r="C387" s="10"/>
      <c r="D387" s="19" t="str">
        <f>IFERROR(VLOOKUP(C387, 'Project Master'!A:B, 2, FALSE), "")</f>
        <v/>
      </c>
      <c r="F387" s="10" t="str">
        <f t="shared" si="1"/>
        <v/>
      </c>
    </row>
    <row r="388">
      <c r="A388" s="22"/>
      <c r="C388" s="10"/>
      <c r="D388" s="19" t="str">
        <f>IFERROR(VLOOKUP(C388, 'Project Master'!A:B, 2, FALSE), "")</f>
        <v/>
      </c>
      <c r="F388" s="10" t="str">
        <f t="shared" si="1"/>
        <v/>
      </c>
    </row>
    <row r="389">
      <c r="A389" s="22"/>
      <c r="C389" s="10"/>
      <c r="D389" s="19" t="str">
        <f>IFERROR(VLOOKUP(C389, 'Project Master'!A:B, 2, FALSE), "")</f>
        <v/>
      </c>
      <c r="F389" s="10" t="str">
        <f t="shared" si="1"/>
        <v/>
      </c>
    </row>
    <row r="390">
      <c r="A390" s="22"/>
      <c r="C390" s="10"/>
      <c r="D390" s="19" t="str">
        <f>IFERROR(VLOOKUP(C390, 'Project Master'!A:B, 2, FALSE), "")</f>
        <v/>
      </c>
      <c r="F390" s="10" t="str">
        <f t="shared" si="1"/>
        <v/>
      </c>
    </row>
    <row r="391">
      <c r="A391" s="22"/>
      <c r="C391" s="10"/>
      <c r="D391" s="19" t="str">
        <f>IFERROR(VLOOKUP(C391, 'Project Master'!A:B, 2, FALSE), "")</f>
        <v/>
      </c>
      <c r="F391" s="10" t="str">
        <f t="shared" si="1"/>
        <v/>
      </c>
    </row>
    <row r="392">
      <c r="A392" s="22"/>
      <c r="C392" s="10"/>
      <c r="D392" s="19" t="str">
        <f>IFERROR(VLOOKUP(C392, 'Project Master'!A:B, 2, FALSE), "")</f>
        <v/>
      </c>
      <c r="F392" s="10" t="str">
        <f t="shared" si="1"/>
        <v/>
      </c>
    </row>
    <row r="393">
      <c r="A393" s="22"/>
      <c r="C393" s="10"/>
      <c r="D393" s="19" t="str">
        <f>IFERROR(VLOOKUP(C393, 'Project Master'!A:B, 2, FALSE), "")</f>
        <v/>
      </c>
      <c r="F393" s="10" t="str">
        <f t="shared" si="1"/>
        <v/>
      </c>
    </row>
    <row r="394">
      <c r="A394" s="22"/>
      <c r="C394" s="10"/>
      <c r="D394" s="19" t="str">
        <f>IFERROR(VLOOKUP(C394, 'Project Master'!A:B, 2, FALSE), "")</f>
        <v/>
      </c>
      <c r="F394" s="10" t="str">
        <f t="shared" si="1"/>
        <v/>
      </c>
    </row>
    <row r="395">
      <c r="A395" s="22"/>
      <c r="C395" s="10"/>
      <c r="D395" s="19" t="str">
        <f>IFERROR(VLOOKUP(C395, 'Project Master'!A:B, 2, FALSE), "")</f>
        <v/>
      </c>
      <c r="F395" s="10" t="str">
        <f t="shared" si="1"/>
        <v/>
      </c>
    </row>
    <row r="396">
      <c r="A396" s="22"/>
      <c r="C396" s="10"/>
      <c r="D396" s="19" t="str">
        <f>IFERROR(VLOOKUP(C396, 'Project Master'!A:B, 2, FALSE), "")</f>
        <v/>
      </c>
      <c r="F396" s="10" t="str">
        <f t="shared" si="1"/>
        <v/>
      </c>
    </row>
    <row r="397">
      <c r="A397" s="22"/>
      <c r="C397" s="10"/>
      <c r="D397" s="19" t="str">
        <f>IFERROR(VLOOKUP(C397, 'Project Master'!A:B, 2, FALSE), "")</f>
        <v/>
      </c>
      <c r="F397" s="10" t="str">
        <f t="shared" si="1"/>
        <v/>
      </c>
    </row>
    <row r="398">
      <c r="A398" s="22"/>
      <c r="C398" s="10"/>
      <c r="D398" s="19" t="str">
        <f>IFERROR(VLOOKUP(C398, 'Project Master'!A:B, 2, FALSE), "")</f>
        <v/>
      </c>
      <c r="F398" s="10" t="str">
        <f t="shared" si="1"/>
        <v/>
      </c>
    </row>
    <row r="399">
      <c r="A399" s="22"/>
      <c r="C399" s="10"/>
      <c r="D399" s="19" t="str">
        <f>IFERROR(VLOOKUP(C399, 'Project Master'!A:B, 2, FALSE), "")</f>
        <v/>
      </c>
      <c r="F399" s="10" t="str">
        <f t="shared" si="1"/>
        <v/>
      </c>
    </row>
    <row r="400">
      <c r="A400" s="22"/>
      <c r="C400" s="10"/>
      <c r="D400" s="19" t="str">
        <f>IFERROR(VLOOKUP(C400, 'Project Master'!A:B, 2, FALSE), "")</f>
        <v/>
      </c>
      <c r="F400" s="10" t="str">
        <f t="shared" si="1"/>
        <v/>
      </c>
    </row>
    <row r="401">
      <c r="A401" s="22"/>
      <c r="C401" s="10"/>
      <c r="D401" s="19" t="str">
        <f>IFERROR(VLOOKUP(C401, 'Project Master'!A:B, 2, FALSE), "")</f>
        <v/>
      </c>
      <c r="F401" s="10" t="str">
        <f t="shared" si="1"/>
        <v/>
      </c>
    </row>
    <row r="402">
      <c r="A402" s="22"/>
      <c r="C402" s="10"/>
      <c r="D402" s="19" t="str">
        <f>IFERROR(VLOOKUP(C402, 'Project Master'!A:B, 2, FALSE), "")</f>
        <v/>
      </c>
      <c r="F402" s="10" t="str">
        <f t="shared" si="1"/>
        <v/>
      </c>
    </row>
    <row r="403">
      <c r="A403" s="22"/>
      <c r="C403" s="10"/>
      <c r="D403" s="19" t="str">
        <f>IFERROR(VLOOKUP(C403, 'Project Master'!A:B, 2, FALSE), "")</f>
        <v/>
      </c>
      <c r="F403" s="10" t="str">
        <f t="shared" si="1"/>
        <v/>
      </c>
    </row>
    <row r="404">
      <c r="A404" s="22"/>
      <c r="C404" s="10"/>
      <c r="D404" s="19" t="str">
        <f>IFERROR(VLOOKUP(C404, 'Project Master'!A:B, 2, FALSE), "")</f>
        <v/>
      </c>
      <c r="F404" s="10" t="str">
        <f t="shared" si="1"/>
        <v/>
      </c>
    </row>
    <row r="405">
      <c r="A405" s="22"/>
      <c r="C405" s="10"/>
      <c r="D405" s="19" t="str">
        <f>IFERROR(VLOOKUP(C405, 'Project Master'!A:B, 2, FALSE), "")</f>
        <v/>
      </c>
      <c r="F405" s="10" t="str">
        <f t="shared" si="1"/>
        <v/>
      </c>
    </row>
    <row r="406">
      <c r="A406" s="22"/>
      <c r="C406" s="10"/>
      <c r="D406" s="19" t="str">
        <f>IFERROR(VLOOKUP(C406, 'Project Master'!A:B, 2, FALSE), "")</f>
        <v/>
      </c>
      <c r="F406" s="10" t="str">
        <f t="shared" si="1"/>
        <v/>
      </c>
    </row>
    <row r="407">
      <c r="A407" s="22"/>
      <c r="C407" s="10"/>
      <c r="D407" s="19" t="str">
        <f>IFERROR(VLOOKUP(C407, 'Project Master'!A:B, 2, FALSE), "")</f>
        <v/>
      </c>
      <c r="F407" s="10" t="str">
        <f t="shared" si="1"/>
        <v/>
      </c>
    </row>
    <row r="408">
      <c r="A408" s="22"/>
      <c r="C408" s="10"/>
      <c r="D408" s="19" t="str">
        <f>IFERROR(VLOOKUP(C408, 'Project Master'!A:B, 2, FALSE), "")</f>
        <v/>
      </c>
      <c r="F408" s="10" t="str">
        <f t="shared" si="1"/>
        <v/>
      </c>
    </row>
    <row r="409">
      <c r="A409" s="22"/>
      <c r="C409" s="10"/>
      <c r="D409" s="19" t="str">
        <f>IFERROR(VLOOKUP(C409, 'Project Master'!A:B, 2, FALSE), "")</f>
        <v/>
      </c>
      <c r="F409" s="10" t="str">
        <f t="shared" si="1"/>
        <v/>
      </c>
    </row>
    <row r="410">
      <c r="A410" s="22"/>
      <c r="C410" s="10"/>
      <c r="D410" s="19" t="str">
        <f>IFERROR(VLOOKUP(C410, 'Project Master'!A:B, 2, FALSE), "")</f>
        <v/>
      </c>
      <c r="F410" s="10" t="str">
        <f t="shared" si="1"/>
        <v/>
      </c>
    </row>
    <row r="411">
      <c r="A411" s="22"/>
      <c r="C411" s="10"/>
      <c r="D411" s="19" t="str">
        <f>IFERROR(VLOOKUP(C411, 'Project Master'!A:B, 2, FALSE), "")</f>
        <v/>
      </c>
      <c r="F411" s="10" t="str">
        <f t="shared" si="1"/>
        <v/>
      </c>
    </row>
    <row r="412">
      <c r="A412" s="22"/>
      <c r="C412" s="10"/>
      <c r="D412" s="19" t="str">
        <f>IFERROR(VLOOKUP(C412, 'Project Master'!A:B, 2, FALSE), "")</f>
        <v/>
      </c>
      <c r="F412" s="10" t="str">
        <f t="shared" si="1"/>
        <v/>
      </c>
    </row>
    <row r="413">
      <c r="A413" s="22"/>
      <c r="C413" s="10"/>
      <c r="D413" s="19" t="str">
        <f>IFERROR(VLOOKUP(C413, 'Project Master'!A:B, 2, FALSE), "")</f>
        <v/>
      </c>
      <c r="F413" s="10" t="str">
        <f t="shared" si="1"/>
        <v/>
      </c>
    </row>
    <row r="414">
      <c r="A414" s="22"/>
      <c r="C414" s="10"/>
      <c r="D414" s="19" t="str">
        <f>IFERROR(VLOOKUP(C414, 'Project Master'!A:B, 2, FALSE), "")</f>
        <v/>
      </c>
      <c r="F414" s="10" t="str">
        <f t="shared" si="1"/>
        <v/>
      </c>
    </row>
    <row r="415">
      <c r="A415" s="22"/>
      <c r="C415" s="10"/>
      <c r="D415" s="19" t="str">
        <f>IFERROR(VLOOKUP(C415, 'Project Master'!A:B, 2, FALSE), "")</f>
        <v/>
      </c>
      <c r="F415" s="10" t="str">
        <f t="shared" si="1"/>
        <v/>
      </c>
    </row>
    <row r="416">
      <c r="A416" s="22"/>
      <c r="C416" s="10"/>
      <c r="D416" s="19" t="str">
        <f>IFERROR(VLOOKUP(C416, 'Project Master'!A:B, 2, FALSE), "")</f>
        <v/>
      </c>
      <c r="F416" s="10" t="str">
        <f t="shared" si="1"/>
        <v/>
      </c>
    </row>
    <row r="417">
      <c r="A417" s="22"/>
      <c r="C417" s="10"/>
      <c r="D417" s="19" t="str">
        <f>IFERROR(VLOOKUP(C417, 'Project Master'!A:B, 2, FALSE), "")</f>
        <v/>
      </c>
      <c r="F417" s="10" t="str">
        <f t="shared" si="1"/>
        <v/>
      </c>
    </row>
    <row r="418">
      <c r="A418" s="22"/>
      <c r="C418" s="10"/>
      <c r="D418" s="19" t="str">
        <f>IFERROR(VLOOKUP(C418, 'Project Master'!A:B, 2, FALSE), "")</f>
        <v/>
      </c>
      <c r="F418" s="10" t="str">
        <f t="shared" si="1"/>
        <v/>
      </c>
    </row>
    <row r="419">
      <c r="A419" s="22"/>
      <c r="C419" s="10"/>
      <c r="D419" s="19" t="str">
        <f>IFERROR(VLOOKUP(C419, 'Project Master'!A:B, 2, FALSE), "")</f>
        <v/>
      </c>
      <c r="F419" s="10" t="str">
        <f t="shared" si="1"/>
        <v/>
      </c>
    </row>
    <row r="420">
      <c r="A420" s="22"/>
      <c r="C420" s="10"/>
      <c r="D420" s="19" t="str">
        <f>IFERROR(VLOOKUP(C420, 'Project Master'!A:B, 2, FALSE), "")</f>
        <v/>
      </c>
      <c r="F420" s="10" t="str">
        <f t="shared" si="1"/>
        <v/>
      </c>
    </row>
    <row r="421">
      <c r="A421" s="22"/>
      <c r="C421" s="10"/>
      <c r="D421" s="19" t="str">
        <f>IFERROR(VLOOKUP(C421, 'Project Master'!A:B, 2, FALSE), "")</f>
        <v/>
      </c>
      <c r="F421" s="10" t="str">
        <f t="shared" si="1"/>
        <v/>
      </c>
    </row>
    <row r="422">
      <c r="A422" s="22"/>
      <c r="C422" s="10"/>
      <c r="D422" s="19" t="str">
        <f>IFERROR(VLOOKUP(C422, 'Project Master'!A:B, 2, FALSE), "")</f>
        <v/>
      </c>
      <c r="F422" s="10" t="str">
        <f t="shared" si="1"/>
        <v/>
      </c>
    </row>
    <row r="423">
      <c r="A423" s="22"/>
      <c r="C423" s="10"/>
      <c r="D423" s="19" t="str">
        <f>IFERROR(VLOOKUP(C423, 'Project Master'!A:B, 2, FALSE), "")</f>
        <v/>
      </c>
      <c r="F423" s="10" t="str">
        <f t="shared" si="1"/>
        <v/>
      </c>
    </row>
    <row r="424">
      <c r="A424" s="22"/>
      <c r="C424" s="10"/>
      <c r="D424" s="19" t="str">
        <f>IFERROR(VLOOKUP(C424, 'Project Master'!A:B, 2, FALSE), "")</f>
        <v/>
      </c>
      <c r="F424" s="10" t="str">
        <f t="shared" si="1"/>
        <v/>
      </c>
    </row>
    <row r="425">
      <c r="A425" s="22"/>
      <c r="C425" s="10"/>
      <c r="D425" s="19" t="str">
        <f>IFERROR(VLOOKUP(C425, 'Project Master'!A:B, 2, FALSE), "")</f>
        <v/>
      </c>
      <c r="F425" s="10" t="str">
        <f t="shared" si="1"/>
        <v/>
      </c>
    </row>
    <row r="426">
      <c r="A426" s="22"/>
      <c r="C426" s="10"/>
      <c r="D426" s="19" t="str">
        <f>IFERROR(VLOOKUP(C426, 'Project Master'!A:B, 2, FALSE), "")</f>
        <v/>
      </c>
      <c r="F426" s="10" t="str">
        <f t="shared" si="1"/>
        <v/>
      </c>
    </row>
    <row r="427">
      <c r="A427" s="22"/>
      <c r="C427" s="10"/>
      <c r="D427" s="19" t="str">
        <f>IFERROR(VLOOKUP(C427, 'Project Master'!A:B, 2, FALSE), "")</f>
        <v/>
      </c>
      <c r="F427" s="10" t="str">
        <f t="shared" si="1"/>
        <v/>
      </c>
    </row>
    <row r="428">
      <c r="A428" s="22"/>
      <c r="C428" s="10"/>
      <c r="D428" s="19" t="str">
        <f>IFERROR(VLOOKUP(C428, 'Project Master'!A:B, 2, FALSE), "")</f>
        <v/>
      </c>
      <c r="F428" s="10" t="str">
        <f t="shared" si="1"/>
        <v/>
      </c>
    </row>
    <row r="429">
      <c r="A429" s="22"/>
      <c r="C429" s="10"/>
      <c r="D429" s="19" t="str">
        <f>IFERROR(VLOOKUP(C429, 'Project Master'!A:B, 2, FALSE), "")</f>
        <v/>
      </c>
      <c r="F429" s="10" t="str">
        <f t="shared" si="1"/>
        <v/>
      </c>
    </row>
    <row r="430">
      <c r="A430" s="22"/>
      <c r="C430" s="10"/>
      <c r="D430" s="19" t="str">
        <f>IFERROR(VLOOKUP(C430, 'Project Master'!A:B, 2, FALSE), "")</f>
        <v/>
      </c>
      <c r="F430" s="10" t="str">
        <f t="shared" si="1"/>
        <v/>
      </c>
    </row>
    <row r="431">
      <c r="A431" s="22"/>
      <c r="C431" s="10"/>
      <c r="D431" s="19" t="str">
        <f>IFERROR(VLOOKUP(C431, 'Project Master'!A:B, 2, FALSE), "")</f>
        <v/>
      </c>
      <c r="F431" s="10" t="str">
        <f t="shared" si="1"/>
        <v/>
      </c>
    </row>
    <row r="432">
      <c r="A432" s="22"/>
      <c r="C432" s="10"/>
      <c r="D432" s="19" t="str">
        <f>IFERROR(VLOOKUP(C432, 'Project Master'!A:B, 2, FALSE), "")</f>
        <v/>
      </c>
      <c r="F432" s="10" t="str">
        <f t="shared" si="1"/>
        <v/>
      </c>
    </row>
    <row r="433">
      <c r="A433" s="22"/>
      <c r="C433" s="10"/>
      <c r="D433" s="19" t="str">
        <f>IFERROR(VLOOKUP(C433, 'Project Master'!A:B, 2, FALSE), "")</f>
        <v/>
      </c>
      <c r="F433" s="10" t="str">
        <f t="shared" si="1"/>
        <v/>
      </c>
    </row>
    <row r="434">
      <c r="A434" s="22"/>
      <c r="C434" s="10"/>
      <c r="D434" s="19" t="str">
        <f>IFERROR(VLOOKUP(C434, 'Project Master'!A:B, 2, FALSE), "")</f>
        <v/>
      </c>
      <c r="F434" s="10" t="str">
        <f t="shared" si="1"/>
        <v/>
      </c>
    </row>
    <row r="435">
      <c r="A435" s="22"/>
      <c r="C435" s="10"/>
      <c r="D435" s="19" t="str">
        <f>IFERROR(VLOOKUP(C435, 'Project Master'!A:B, 2, FALSE), "")</f>
        <v/>
      </c>
      <c r="F435" s="10" t="str">
        <f t="shared" si="1"/>
        <v/>
      </c>
    </row>
    <row r="436">
      <c r="A436" s="22"/>
      <c r="C436" s="10"/>
      <c r="D436" s="19" t="str">
        <f>IFERROR(VLOOKUP(C436, 'Project Master'!A:B, 2, FALSE), "")</f>
        <v/>
      </c>
      <c r="F436" s="10" t="str">
        <f t="shared" si="1"/>
        <v/>
      </c>
    </row>
    <row r="437">
      <c r="A437" s="22"/>
      <c r="C437" s="10"/>
      <c r="D437" s="19" t="str">
        <f>IFERROR(VLOOKUP(C437, 'Project Master'!A:B, 2, FALSE), "")</f>
        <v/>
      </c>
      <c r="F437" s="10" t="str">
        <f t="shared" si="1"/>
        <v/>
      </c>
    </row>
    <row r="438">
      <c r="A438" s="22"/>
      <c r="C438" s="10"/>
      <c r="D438" s="19" t="str">
        <f>IFERROR(VLOOKUP(C438, 'Project Master'!A:B, 2, FALSE), "")</f>
        <v/>
      </c>
      <c r="F438" s="10" t="str">
        <f t="shared" si="1"/>
        <v/>
      </c>
    </row>
    <row r="439">
      <c r="A439" s="22"/>
      <c r="C439" s="10"/>
      <c r="D439" s="19" t="str">
        <f>IFERROR(VLOOKUP(C439, 'Project Master'!A:B, 2, FALSE), "")</f>
        <v/>
      </c>
      <c r="F439" s="10" t="str">
        <f t="shared" si="1"/>
        <v/>
      </c>
    </row>
    <row r="440">
      <c r="A440" s="22"/>
      <c r="C440" s="10"/>
      <c r="D440" s="19" t="str">
        <f>IFERROR(VLOOKUP(C440, 'Project Master'!A:B, 2, FALSE), "")</f>
        <v/>
      </c>
      <c r="F440" s="10" t="str">
        <f t="shared" si="1"/>
        <v/>
      </c>
    </row>
    <row r="441">
      <c r="A441" s="22"/>
      <c r="C441" s="10"/>
      <c r="D441" s="19" t="str">
        <f>IFERROR(VLOOKUP(C441, 'Project Master'!A:B, 2, FALSE), "")</f>
        <v/>
      </c>
      <c r="F441" s="10" t="str">
        <f t="shared" si="1"/>
        <v/>
      </c>
    </row>
    <row r="442">
      <c r="A442" s="22"/>
      <c r="C442" s="10"/>
      <c r="D442" s="19" t="str">
        <f>IFERROR(VLOOKUP(C442, 'Project Master'!A:B, 2, FALSE), "")</f>
        <v/>
      </c>
      <c r="F442" s="10" t="str">
        <f t="shared" si="1"/>
        <v/>
      </c>
    </row>
    <row r="443">
      <c r="A443" s="22"/>
      <c r="C443" s="10"/>
      <c r="D443" s="19" t="str">
        <f>IFERROR(VLOOKUP(C443, 'Project Master'!A:B, 2, FALSE), "")</f>
        <v/>
      </c>
      <c r="F443" s="10" t="str">
        <f t="shared" si="1"/>
        <v/>
      </c>
    </row>
    <row r="444">
      <c r="A444" s="22"/>
      <c r="C444" s="10"/>
      <c r="D444" s="19" t="str">
        <f>IFERROR(VLOOKUP(C444, 'Project Master'!A:B, 2, FALSE), "")</f>
        <v/>
      </c>
      <c r="F444" s="10" t="str">
        <f t="shared" si="1"/>
        <v/>
      </c>
    </row>
    <row r="445">
      <c r="A445" s="22"/>
      <c r="C445" s="10"/>
      <c r="D445" s="19" t="str">
        <f>IFERROR(VLOOKUP(C445, 'Project Master'!A:B, 2, FALSE), "")</f>
        <v/>
      </c>
      <c r="F445" s="10" t="str">
        <f t="shared" si="1"/>
        <v/>
      </c>
    </row>
    <row r="446">
      <c r="A446" s="22"/>
      <c r="C446" s="10"/>
      <c r="D446" s="19" t="str">
        <f>IFERROR(VLOOKUP(C446, 'Project Master'!A:B, 2, FALSE), "")</f>
        <v/>
      </c>
      <c r="F446" s="10" t="str">
        <f t="shared" si="1"/>
        <v/>
      </c>
    </row>
    <row r="447">
      <c r="A447" s="22"/>
      <c r="C447" s="10"/>
      <c r="D447" s="19" t="str">
        <f>IFERROR(VLOOKUP(C447, 'Project Master'!A:B, 2, FALSE), "")</f>
        <v/>
      </c>
      <c r="F447" s="10" t="str">
        <f t="shared" si="1"/>
        <v/>
      </c>
    </row>
    <row r="448">
      <c r="A448" s="22"/>
      <c r="C448" s="10"/>
      <c r="D448" s="19" t="str">
        <f>IFERROR(VLOOKUP(C448, 'Project Master'!A:B, 2, FALSE), "")</f>
        <v/>
      </c>
      <c r="F448" s="10" t="str">
        <f t="shared" si="1"/>
        <v/>
      </c>
    </row>
    <row r="449">
      <c r="A449" s="22"/>
      <c r="C449" s="10"/>
      <c r="D449" s="19" t="str">
        <f>IFERROR(VLOOKUP(C449, 'Project Master'!A:B, 2, FALSE), "")</f>
        <v/>
      </c>
      <c r="F449" s="10" t="str">
        <f t="shared" si="1"/>
        <v/>
      </c>
    </row>
    <row r="450">
      <c r="A450" s="22"/>
      <c r="C450" s="10"/>
      <c r="D450" s="19" t="str">
        <f>IFERROR(VLOOKUP(C450, 'Project Master'!A:B, 2, FALSE), "")</f>
        <v/>
      </c>
      <c r="F450" s="10" t="str">
        <f t="shared" si="1"/>
        <v/>
      </c>
    </row>
    <row r="451">
      <c r="A451" s="22"/>
      <c r="C451" s="10"/>
      <c r="D451" s="19" t="str">
        <f>IFERROR(VLOOKUP(C451, 'Project Master'!A:B, 2, FALSE), "")</f>
        <v/>
      </c>
      <c r="F451" s="10" t="str">
        <f t="shared" si="1"/>
        <v/>
      </c>
    </row>
    <row r="452">
      <c r="A452" s="22"/>
      <c r="C452" s="10"/>
      <c r="D452" s="19" t="str">
        <f>IFERROR(VLOOKUP(C452, 'Project Master'!A:B, 2, FALSE), "")</f>
        <v/>
      </c>
      <c r="F452" s="10" t="str">
        <f t="shared" si="1"/>
        <v/>
      </c>
    </row>
    <row r="453">
      <c r="A453" s="22"/>
      <c r="C453" s="10"/>
      <c r="D453" s="19" t="str">
        <f>IFERROR(VLOOKUP(C453, 'Project Master'!A:B, 2, FALSE), "")</f>
        <v/>
      </c>
      <c r="F453" s="10" t="str">
        <f t="shared" si="1"/>
        <v/>
      </c>
    </row>
    <row r="454">
      <c r="A454" s="22"/>
      <c r="C454" s="10"/>
      <c r="D454" s="19" t="str">
        <f>IFERROR(VLOOKUP(C454, 'Project Master'!A:B, 2, FALSE), "")</f>
        <v/>
      </c>
      <c r="F454" s="10" t="str">
        <f t="shared" si="1"/>
        <v/>
      </c>
    </row>
    <row r="455">
      <c r="A455" s="22"/>
      <c r="C455" s="10"/>
      <c r="D455" s="19" t="str">
        <f>IFERROR(VLOOKUP(C455, 'Project Master'!A:B, 2, FALSE), "")</f>
        <v/>
      </c>
      <c r="F455" s="10" t="str">
        <f t="shared" si="1"/>
        <v/>
      </c>
    </row>
    <row r="456">
      <c r="A456" s="22"/>
      <c r="C456" s="10"/>
      <c r="D456" s="19" t="str">
        <f>IFERROR(VLOOKUP(C456, 'Project Master'!A:B, 2, FALSE), "")</f>
        <v/>
      </c>
      <c r="F456" s="10" t="str">
        <f t="shared" si="1"/>
        <v/>
      </c>
    </row>
    <row r="457">
      <c r="A457" s="22"/>
      <c r="C457" s="10"/>
      <c r="D457" s="19" t="str">
        <f>IFERROR(VLOOKUP(C457, 'Project Master'!A:B, 2, FALSE), "")</f>
        <v/>
      </c>
      <c r="F457" s="10" t="str">
        <f t="shared" si="1"/>
        <v/>
      </c>
    </row>
    <row r="458">
      <c r="A458" s="22"/>
      <c r="C458" s="10"/>
      <c r="D458" s="19" t="str">
        <f>IFERROR(VLOOKUP(C458, 'Project Master'!A:B, 2, FALSE), "")</f>
        <v/>
      </c>
      <c r="F458" s="10" t="str">
        <f t="shared" si="1"/>
        <v/>
      </c>
    </row>
    <row r="459">
      <c r="A459" s="22"/>
      <c r="C459" s="10"/>
      <c r="D459" s="19" t="str">
        <f>IFERROR(VLOOKUP(C459, 'Project Master'!A:B, 2, FALSE), "")</f>
        <v/>
      </c>
      <c r="F459" s="10" t="str">
        <f t="shared" si="1"/>
        <v/>
      </c>
    </row>
    <row r="460">
      <c r="A460" s="22"/>
      <c r="C460" s="10"/>
      <c r="D460" s="19" t="str">
        <f>IFERROR(VLOOKUP(C460, 'Project Master'!A:B, 2, FALSE), "")</f>
        <v/>
      </c>
      <c r="F460" s="10" t="str">
        <f t="shared" si="1"/>
        <v/>
      </c>
    </row>
    <row r="461">
      <c r="A461" s="22"/>
      <c r="C461" s="10"/>
      <c r="D461" s="19" t="str">
        <f>IFERROR(VLOOKUP(C461, 'Project Master'!A:B, 2, FALSE), "")</f>
        <v/>
      </c>
      <c r="F461" s="10" t="str">
        <f t="shared" si="1"/>
        <v/>
      </c>
    </row>
    <row r="462">
      <c r="A462" s="22"/>
      <c r="C462" s="10"/>
      <c r="D462" s="19" t="str">
        <f>IFERROR(VLOOKUP(C462, 'Project Master'!A:B, 2, FALSE), "")</f>
        <v/>
      </c>
      <c r="F462" s="10" t="str">
        <f t="shared" si="1"/>
        <v/>
      </c>
    </row>
    <row r="463">
      <c r="A463" s="22"/>
      <c r="C463" s="10"/>
      <c r="D463" s="19" t="str">
        <f>IFERROR(VLOOKUP(C463, 'Project Master'!A:B, 2, FALSE), "")</f>
        <v/>
      </c>
      <c r="F463" s="10" t="str">
        <f t="shared" si="1"/>
        <v/>
      </c>
    </row>
    <row r="464">
      <c r="A464" s="22"/>
      <c r="C464" s="10"/>
      <c r="D464" s="19" t="str">
        <f>IFERROR(VLOOKUP(C464, 'Project Master'!A:B, 2, FALSE), "")</f>
        <v/>
      </c>
      <c r="F464" s="10" t="str">
        <f t="shared" si="1"/>
        <v/>
      </c>
    </row>
    <row r="465">
      <c r="A465" s="22"/>
      <c r="C465" s="10"/>
      <c r="D465" s="19" t="str">
        <f>IFERROR(VLOOKUP(C465, 'Project Master'!A:B, 2, FALSE), "")</f>
        <v/>
      </c>
      <c r="F465" s="10" t="str">
        <f t="shared" si="1"/>
        <v/>
      </c>
    </row>
    <row r="466">
      <c r="A466" s="22"/>
      <c r="C466" s="10"/>
      <c r="D466" s="19" t="str">
        <f>IFERROR(VLOOKUP(C466, 'Project Master'!A:B, 2, FALSE), "")</f>
        <v/>
      </c>
      <c r="F466" s="10" t="str">
        <f t="shared" si="1"/>
        <v/>
      </c>
    </row>
    <row r="467">
      <c r="A467" s="22"/>
      <c r="C467" s="10"/>
      <c r="D467" s="19" t="str">
        <f>IFERROR(VLOOKUP(C467, 'Project Master'!A:B, 2, FALSE), "")</f>
        <v/>
      </c>
      <c r="F467" s="10" t="str">
        <f t="shared" si="1"/>
        <v/>
      </c>
    </row>
    <row r="468">
      <c r="A468" s="22"/>
      <c r="C468" s="10"/>
      <c r="D468" s="19" t="str">
        <f>IFERROR(VLOOKUP(C468, 'Project Master'!A:B, 2, FALSE), "")</f>
        <v/>
      </c>
      <c r="F468" s="10" t="str">
        <f t="shared" si="1"/>
        <v/>
      </c>
    </row>
    <row r="469">
      <c r="A469" s="22"/>
      <c r="C469" s="10"/>
      <c r="D469" s="19" t="str">
        <f>IFERROR(VLOOKUP(C469, 'Project Master'!A:B, 2, FALSE), "")</f>
        <v/>
      </c>
      <c r="F469" s="10" t="str">
        <f t="shared" si="1"/>
        <v/>
      </c>
    </row>
    <row r="470">
      <c r="A470" s="22"/>
      <c r="C470" s="10"/>
      <c r="D470" s="19" t="str">
        <f>IFERROR(VLOOKUP(C470, 'Project Master'!A:B, 2, FALSE), "")</f>
        <v/>
      </c>
      <c r="F470" s="10" t="str">
        <f t="shared" si="1"/>
        <v/>
      </c>
    </row>
    <row r="471">
      <c r="A471" s="22"/>
      <c r="C471" s="10"/>
      <c r="D471" s="19" t="str">
        <f>IFERROR(VLOOKUP(C471, 'Project Master'!A:B, 2, FALSE), "")</f>
        <v/>
      </c>
      <c r="F471" s="10" t="str">
        <f t="shared" si="1"/>
        <v/>
      </c>
    </row>
    <row r="472">
      <c r="A472" s="22"/>
      <c r="C472" s="10"/>
      <c r="D472" s="19" t="str">
        <f>IFERROR(VLOOKUP(C472, 'Project Master'!A:B, 2, FALSE), "")</f>
        <v/>
      </c>
      <c r="F472" s="10" t="str">
        <f t="shared" si="1"/>
        <v/>
      </c>
    </row>
    <row r="473">
      <c r="A473" s="22"/>
      <c r="C473" s="10"/>
      <c r="D473" s="19" t="str">
        <f>IFERROR(VLOOKUP(C473, 'Project Master'!A:B, 2, FALSE), "")</f>
        <v/>
      </c>
      <c r="F473" s="10" t="str">
        <f t="shared" si="1"/>
        <v/>
      </c>
    </row>
    <row r="474">
      <c r="A474" s="22"/>
      <c r="C474" s="10"/>
      <c r="D474" s="19" t="str">
        <f>IFERROR(VLOOKUP(C474, 'Project Master'!A:B, 2, FALSE), "")</f>
        <v/>
      </c>
      <c r="F474" s="10" t="str">
        <f t="shared" si="1"/>
        <v/>
      </c>
    </row>
    <row r="475">
      <c r="A475" s="22"/>
      <c r="C475" s="10"/>
      <c r="D475" s="19" t="str">
        <f>IFERROR(VLOOKUP(C475, 'Project Master'!A:B, 2, FALSE), "")</f>
        <v/>
      </c>
      <c r="F475" s="10" t="str">
        <f t="shared" si="1"/>
        <v/>
      </c>
    </row>
    <row r="476">
      <c r="A476" s="22"/>
      <c r="C476" s="10"/>
      <c r="D476" s="19" t="str">
        <f>IFERROR(VLOOKUP(C476, 'Project Master'!A:B, 2, FALSE), "")</f>
        <v/>
      </c>
      <c r="F476" s="10" t="str">
        <f t="shared" si="1"/>
        <v/>
      </c>
    </row>
    <row r="477">
      <c r="A477" s="22"/>
      <c r="C477" s="10"/>
      <c r="D477" s="19" t="str">
        <f>IFERROR(VLOOKUP(C477, 'Project Master'!A:B, 2, FALSE), "")</f>
        <v/>
      </c>
      <c r="F477" s="10" t="str">
        <f t="shared" si="1"/>
        <v/>
      </c>
    </row>
    <row r="478">
      <c r="A478" s="22"/>
      <c r="C478" s="10"/>
      <c r="D478" s="19" t="str">
        <f>IFERROR(VLOOKUP(C478, 'Project Master'!A:B, 2, FALSE), "")</f>
        <v/>
      </c>
      <c r="F478" s="10" t="str">
        <f t="shared" si="1"/>
        <v/>
      </c>
    </row>
    <row r="479">
      <c r="A479" s="22"/>
      <c r="C479" s="10"/>
      <c r="D479" s="19" t="str">
        <f>IFERROR(VLOOKUP(C479, 'Project Master'!A:B, 2, FALSE), "")</f>
        <v/>
      </c>
      <c r="F479" s="10" t="str">
        <f t="shared" si="1"/>
        <v/>
      </c>
    </row>
    <row r="480">
      <c r="A480" s="22"/>
      <c r="C480" s="10"/>
      <c r="D480" s="19" t="str">
        <f>IFERROR(VLOOKUP(C480, 'Project Master'!A:B, 2, FALSE), "")</f>
        <v/>
      </c>
      <c r="F480" s="10" t="str">
        <f t="shared" si="1"/>
        <v/>
      </c>
    </row>
    <row r="481">
      <c r="A481" s="22"/>
      <c r="C481" s="10"/>
      <c r="D481" s="19" t="str">
        <f>IFERROR(VLOOKUP(C481, 'Project Master'!A:B, 2, FALSE), "")</f>
        <v/>
      </c>
      <c r="F481" s="10" t="str">
        <f t="shared" si="1"/>
        <v/>
      </c>
    </row>
    <row r="482">
      <c r="A482" s="22"/>
      <c r="C482" s="10"/>
      <c r="D482" s="19" t="str">
        <f>IFERROR(VLOOKUP(C482, 'Project Master'!A:B, 2, FALSE), "")</f>
        <v/>
      </c>
      <c r="F482" s="10" t="str">
        <f t="shared" si="1"/>
        <v/>
      </c>
    </row>
    <row r="483">
      <c r="A483" s="22"/>
      <c r="C483" s="10"/>
      <c r="D483" s="19" t="str">
        <f>IFERROR(VLOOKUP(C483, 'Project Master'!A:B, 2, FALSE), "")</f>
        <v/>
      </c>
      <c r="F483" s="10" t="str">
        <f t="shared" si="1"/>
        <v/>
      </c>
    </row>
    <row r="484">
      <c r="A484" s="22"/>
      <c r="C484" s="10"/>
      <c r="D484" s="19" t="str">
        <f>IFERROR(VLOOKUP(C484, 'Project Master'!A:B, 2, FALSE), "")</f>
        <v/>
      </c>
      <c r="F484" s="10" t="str">
        <f t="shared" si="1"/>
        <v/>
      </c>
    </row>
    <row r="485">
      <c r="A485" s="22"/>
      <c r="C485" s="10"/>
      <c r="D485" s="19" t="str">
        <f>IFERROR(VLOOKUP(C485, 'Project Master'!A:B, 2, FALSE), "")</f>
        <v/>
      </c>
      <c r="F485" s="10" t="str">
        <f t="shared" si="1"/>
        <v/>
      </c>
    </row>
    <row r="486">
      <c r="A486" s="22"/>
      <c r="C486" s="10"/>
      <c r="D486" s="19" t="str">
        <f>IFERROR(VLOOKUP(C486, 'Project Master'!A:B, 2, FALSE), "")</f>
        <v/>
      </c>
      <c r="F486" s="10" t="str">
        <f t="shared" si="1"/>
        <v/>
      </c>
    </row>
    <row r="487">
      <c r="A487" s="22"/>
      <c r="C487" s="10"/>
      <c r="D487" s="19" t="str">
        <f>IFERROR(VLOOKUP(C487, 'Project Master'!A:B, 2, FALSE), "")</f>
        <v/>
      </c>
      <c r="F487" s="10" t="str">
        <f t="shared" si="1"/>
        <v/>
      </c>
    </row>
    <row r="488">
      <c r="A488" s="22"/>
      <c r="C488" s="10"/>
      <c r="D488" s="19" t="str">
        <f>IFERROR(VLOOKUP(C488, 'Project Master'!A:B, 2, FALSE), "")</f>
        <v/>
      </c>
      <c r="F488" s="10" t="str">
        <f t="shared" si="1"/>
        <v/>
      </c>
    </row>
    <row r="489">
      <c r="A489" s="22"/>
      <c r="C489" s="10"/>
      <c r="D489" s="19" t="str">
        <f>IFERROR(VLOOKUP(C489, 'Project Master'!A:B, 2, FALSE), "")</f>
        <v/>
      </c>
      <c r="F489" s="10" t="str">
        <f t="shared" si="1"/>
        <v/>
      </c>
    </row>
    <row r="490">
      <c r="A490" s="22"/>
      <c r="C490" s="10"/>
      <c r="D490" s="19" t="str">
        <f>IFERROR(VLOOKUP(C490, 'Project Master'!A:B, 2, FALSE), "")</f>
        <v/>
      </c>
      <c r="F490" s="10" t="str">
        <f t="shared" si="1"/>
        <v/>
      </c>
    </row>
    <row r="491">
      <c r="A491" s="22"/>
      <c r="C491" s="10"/>
      <c r="D491" s="19" t="str">
        <f>IFERROR(VLOOKUP(C491, 'Project Master'!A:B, 2, FALSE), "")</f>
        <v/>
      </c>
      <c r="F491" s="10" t="str">
        <f t="shared" si="1"/>
        <v/>
      </c>
    </row>
    <row r="492">
      <c r="A492" s="22"/>
      <c r="C492" s="10"/>
      <c r="D492" s="19" t="str">
        <f>IFERROR(VLOOKUP(C492, 'Project Master'!A:B, 2, FALSE), "")</f>
        <v/>
      </c>
      <c r="F492" s="10" t="str">
        <f t="shared" si="1"/>
        <v/>
      </c>
    </row>
    <row r="493">
      <c r="A493" s="22"/>
      <c r="C493" s="10"/>
      <c r="D493" s="19" t="str">
        <f>IFERROR(VLOOKUP(C493, 'Project Master'!A:B, 2, FALSE), "")</f>
        <v/>
      </c>
      <c r="F493" s="10" t="str">
        <f t="shared" si="1"/>
        <v/>
      </c>
    </row>
    <row r="494">
      <c r="A494" s="22"/>
      <c r="C494" s="10"/>
      <c r="D494" s="19" t="str">
        <f>IFERROR(VLOOKUP(C494, 'Project Master'!A:B, 2, FALSE), "")</f>
        <v/>
      </c>
      <c r="F494" s="10" t="str">
        <f t="shared" si="1"/>
        <v/>
      </c>
    </row>
    <row r="495">
      <c r="A495" s="22"/>
      <c r="C495" s="10"/>
      <c r="D495" s="19" t="str">
        <f>IFERROR(VLOOKUP(C495, 'Project Master'!A:B, 2, FALSE), "")</f>
        <v/>
      </c>
      <c r="F495" s="10" t="str">
        <f t="shared" si="1"/>
        <v/>
      </c>
    </row>
    <row r="496">
      <c r="A496" s="22"/>
      <c r="C496" s="10"/>
      <c r="D496" s="19" t="str">
        <f>IFERROR(VLOOKUP(C496, 'Project Master'!A:B, 2, FALSE), "")</f>
        <v/>
      </c>
      <c r="F496" s="10" t="str">
        <f t="shared" si="1"/>
        <v/>
      </c>
    </row>
    <row r="497">
      <c r="A497" s="22"/>
      <c r="C497" s="10"/>
      <c r="D497" s="19" t="str">
        <f>IFERROR(VLOOKUP(C497, 'Project Master'!A:B, 2, FALSE), "")</f>
        <v/>
      </c>
      <c r="F497" s="10" t="str">
        <f t="shared" si="1"/>
        <v/>
      </c>
    </row>
    <row r="498">
      <c r="A498" s="22"/>
      <c r="C498" s="10"/>
      <c r="D498" s="19" t="str">
        <f>IFERROR(VLOOKUP(C498, 'Project Master'!A:B, 2, FALSE), "")</f>
        <v/>
      </c>
      <c r="F498" s="10" t="str">
        <f t="shared" si="1"/>
        <v/>
      </c>
    </row>
    <row r="499">
      <c r="A499" s="22"/>
      <c r="C499" s="10"/>
      <c r="D499" s="19" t="str">
        <f>IFERROR(VLOOKUP(C499, 'Project Master'!A:B, 2, FALSE), "")</f>
        <v/>
      </c>
      <c r="F499" s="10" t="str">
        <f t="shared" si="1"/>
        <v/>
      </c>
    </row>
    <row r="500">
      <c r="A500" s="22"/>
      <c r="C500" s="10"/>
      <c r="D500" s="19" t="str">
        <f>IFERROR(VLOOKUP(C500, 'Project Master'!A:B, 2, FALSE), "")</f>
        <v/>
      </c>
      <c r="F500" s="10" t="str">
        <f t="shared" si="1"/>
        <v/>
      </c>
    </row>
    <row r="501">
      <c r="A501" s="22"/>
      <c r="C501" s="10"/>
      <c r="D501" s="19" t="str">
        <f>IFERROR(VLOOKUP(C501, 'Project Master'!A:B, 2, FALSE), "")</f>
        <v/>
      </c>
      <c r="F501" s="10" t="str">
        <f t="shared" si="1"/>
        <v/>
      </c>
    </row>
    <row r="502">
      <c r="A502" s="22"/>
      <c r="C502" s="10"/>
      <c r="D502" s="19" t="str">
        <f>IFERROR(VLOOKUP(C502, 'Project Master'!A:B, 2, FALSE), "")</f>
        <v/>
      </c>
      <c r="F502" s="10" t="str">
        <f t="shared" si="1"/>
        <v/>
      </c>
    </row>
    <row r="503">
      <c r="A503" s="22"/>
      <c r="C503" s="10"/>
      <c r="D503" s="19" t="str">
        <f>IFERROR(VLOOKUP(C503, 'Project Master'!A:B, 2, FALSE), "")</f>
        <v/>
      </c>
      <c r="F503" s="10" t="str">
        <f t="shared" si="1"/>
        <v/>
      </c>
    </row>
    <row r="504">
      <c r="A504" s="22"/>
      <c r="C504" s="10"/>
      <c r="D504" s="19" t="str">
        <f>IFERROR(VLOOKUP(C504, 'Project Master'!A:B, 2, FALSE), "")</f>
        <v/>
      </c>
      <c r="F504" s="10" t="str">
        <f t="shared" si="1"/>
        <v/>
      </c>
    </row>
    <row r="505">
      <c r="A505" s="22"/>
      <c r="C505" s="10"/>
      <c r="D505" s="19" t="str">
        <f>IFERROR(VLOOKUP(C505, 'Project Master'!A:B, 2, FALSE), "")</f>
        <v/>
      </c>
      <c r="F505" s="10" t="str">
        <f t="shared" si="1"/>
        <v/>
      </c>
    </row>
    <row r="506">
      <c r="A506" s="22"/>
      <c r="C506" s="10"/>
      <c r="D506" s="19" t="str">
        <f>IFERROR(VLOOKUP(C506, 'Project Master'!A:B, 2, FALSE), "")</f>
        <v/>
      </c>
      <c r="F506" s="10" t="str">
        <f t="shared" si="1"/>
        <v/>
      </c>
    </row>
    <row r="507">
      <c r="A507" s="22"/>
      <c r="C507" s="10"/>
      <c r="D507" s="19" t="str">
        <f>IFERROR(VLOOKUP(C507, 'Project Master'!A:B, 2, FALSE), "")</f>
        <v/>
      </c>
      <c r="F507" s="10" t="str">
        <f t="shared" si="1"/>
        <v/>
      </c>
    </row>
    <row r="508">
      <c r="A508" s="22"/>
      <c r="C508" s="10"/>
      <c r="D508" s="19" t="str">
        <f>IFERROR(VLOOKUP(C508, 'Project Master'!A:B, 2, FALSE), "")</f>
        <v/>
      </c>
      <c r="F508" s="10" t="str">
        <f t="shared" si="1"/>
        <v/>
      </c>
    </row>
    <row r="509">
      <c r="A509" s="22"/>
      <c r="C509" s="10"/>
      <c r="D509" s="19" t="str">
        <f>IFERROR(VLOOKUP(C509, 'Project Master'!A:B, 2, FALSE), "")</f>
        <v/>
      </c>
      <c r="F509" s="10" t="str">
        <f t="shared" si="1"/>
        <v/>
      </c>
    </row>
    <row r="510">
      <c r="A510" s="22"/>
      <c r="C510" s="10"/>
      <c r="D510" s="19" t="str">
        <f>IFERROR(VLOOKUP(C510, 'Project Master'!A:B, 2, FALSE), "")</f>
        <v/>
      </c>
      <c r="F510" s="10" t="str">
        <f t="shared" si="1"/>
        <v/>
      </c>
    </row>
    <row r="511">
      <c r="A511" s="22"/>
      <c r="C511" s="10"/>
      <c r="D511" s="19" t="str">
        <f>IFERROR(VLOOKUP(C511, 'Project Master'!A:B, 2, FALSE), "")</f>
        <v/>
      </c>
      <c r="F511" s="10" t="str">
        <f t="shared" si="1"/>
        <v/>
      </c>
    </row>
    <row r="512">
      <c r="A512" s="22"/>
      <c r="C512" s="10"/>
      <c r="D512" s="19" t="str">
        <f>IFERROR(VLOOKUP(C512, 'Project Master'!A:B, 2, FALSE), "")</f>
        <v/>
      </c>
      <c r="F512" s="10" t="str">
        <f t="shared" si="1"/>
        <v/>
      </c>
    </row>
    <row r="513">
      <c r="A513" s="22"/>
      <c r="C513" s="10"/>
      <c r="D513" s="19" t="str">
        <f>IFERROR(VLOOKUP(C513, 'Project Master'!A:B, 2, FALSE), "")</f>
        <v/>
      </c>
      <c r="F513" s="10" t="str">
        <f t="shared" si="1"/>
        <v/>
      </c>
    </row>
    <row r="514">
      <c r="A514" s="22"/>
      <c r="C514" s="10"/>
      <c r="D514" s="19" t="str">
        <f>IFERROR(VLOOKUP(C514, 'Project Master'!A:B, 2, FALSE), "")</f>
        <v/>
      </c>
      <c r="F514" s="10" t="str">
        <f t="shared" si="1"/>
        <v/>
      </c>
    </row>
    <row r="515">
      <c r="A515" s="22"/>
      <c r="C515" s="10"/>
      <c r="D515" s="19" t="str">
        <f>IFERROR(VLOOKUP(C515, 'Project Master'!A:B, 2, FALSE), "")</f>
        <v/>
      </c>
      <c r="F515" s="10" t="str">
        <f t="shared" si="1"/>
        <v/>
      </c>
    </row>
    <row r="516">
      <c r="A516" s="22"/>
      <c r="C516" s="10"/>
      <c r="D516" s="19" t="str">
        <f>IFERROR(VLOOKUP(C516, 'Project Master'!A:B, 2, FALSE), "")</f>
        <v/>
      </c>
      <c r="F516" s="10" t="str">
        <f t="shared" si="1"/>
        <v/>
      </c>
    </row>
    <row r="517">
      <c r="A517" s="22"/>
      <c r="C517" s="10"/>
      <c r="D517" s="19" t="str">
        <f>IFERROR(VLOOKUP(C517, 'Project Master'!A:B, 2, FALSE), "")</f>
        <v/>
      </c>
      <c r="F517" s="10" t="str">
        <f t="shared" si="1"/>
        <v/>
      </c>
    </row>
    <row r="518">
      <c r="A518" s="22"/>
      <c r="C518" s="10"/>
      <c r="D518" s="19" t="str">
        <f>IFERROR(VLOOKUP(C518, 'Project Master'!A:B, 2, FALSE), "")</f>
        <v/>
      </c>
      <c r="F518" s="10" t="str">
        <f t="shared" si="1"/>
        <v/>
      </c>
    </row>
    <row r="519">
      <c r="A519" s="22"/>
      <c r="C519" s="10"/>
      <c r="D519" s="19" t="str">
        <f>IFERROR(VLOOKUP(C519, 'Project Master'!A:B, 2, FALSE), "")</f>
        <v/>
      </c>
      <c r="F519" s="10" t="str">
        <f t="shared" si="1"/>
        <v/>
      </c>
    </row>
    <row r="520">
      <c r="A520" s="22"/>
      <c r="C520" s="10"/>
      <c r="D520" s="19" t="str">
        <f>IFERROR(VLOOKUP(C520, 'Project Master'!A:B, 2, FALSE), "")</f>
        <v/>
      </c>
      <c r="F520" s="10" t="str">
        <f t="shared" si="1"/>
        <v/>
      </c>
    </row>
    <row r="521">
      <c r="A521" s="22"/>
      <c r="C521" s="10"/>
      <c r="D521" s="19" t="str">
        <f>IFERROR(VLOOKUP(C521, 'Project Master'!A:B, 2, FALSE), "")</f>
        <v/>
      </c>
      <c r="F521" s="10" t="str">
        <f t="shared" si="1"/>
        <v/>
      </c>
    </row>
    <row r="522">
      <c r="A522" s="22"/>
      <c r="C522" s="10"/>
      <c r="D522" s="19" t="str">
        <f>IFERROR(VLOOKUP(C522, 'Project Master'!A:B, 2, FALSE), "")</f>
        <v/>
      </c>
      <c r="F522" s="10" t="str">
        <f t="shared" si="1"/>
        <v/>
      </c>
    </row>
    <row r="523">
      <c r="A523" s="22"/>
      <c r="C523" s="10"/>
      <c r="D523" s="19" t="str">
        <f>IFERROR(VLOOKUP(C523, 'Project Master'!A:B, 2, FALSE), "")</f>
        <v/>
      </c>
      <c r="F523" s="10" t="str">
        <f t="shared" si="1"/>
        <v/>
      </c>
    </row>
    <row r="524">
      <c r="A524" s="22"/>
      <c r="C524" s="10"/>
      <c r="D524" s="19" t="str">
        <f>IFERROR(VLOOKUP(C524, 'Project Master'!A:B, 2, FALSE), "")</f>
        <v/>
      </c>
      <c r="F524" s="10" t="str">
        <f t="shared" si="1"/>
        <v/>
      </c>
    </row>
    <row r="525">
      <c r="A525" s="22"/>
      <c r="C525" s="10"/>
      <c r="D525" s="19" t="str">
        <f>IFERROR(VLOOKUP(C525, 'Project Master'!A:B, 2, FALSE), "")</f>
        <v/>
      </c>
      <c r="F525" s="10" t="str">
        <f t="shared" si="1"/>
        <v/>
      </c>
    </row>
    <row r="526">
      <c r="A526" s="22"/>
      <c r="C526" s="10"/>
      <c r="D526" s="19" t="str">
        <f>IFERROR(VLOOKUP(C526, 'Project Master'!A:B, 2, FALSE), "")</f>
        <v/>
      </c>
      <c r="F526" s="10" t="str">
        <f t="shared" si="1"/>
        <v/>
      </c>
    </row>
    <row r="527">
      <c r="A527" s="22"/>
      <c r="C527" s="10"/>
      <c r="D527" s="19" t="str">
        <f>IFERROR(VLOOKUP(C527, 'Project Master'!A:B, 2, FALSE), "")</f>
        <v/>
      </c>
      <c r="F527" s="10" t="str">
        <f t="shared" si="1"/>
        <v/>
      </c>
    </row>
    <row r="528">
      <c r="A528" s="22"/>
      <c r="C528" s="10"/>
      <c r="D528" s="19" t="str">
        <f>IFERROR(VLOOKUP(C528, 'Project Master'!A:B, 2, FALSE), "")</f>
        <v/>
      </c>
      <c r="F528" s="10" t="str">
        <f t="shared" si="1"/>
        <v/>
      </c>
    </row>
    <row r="529">
      <c r="A529" s="22"/>
      <c r="C529" s="10"/>
      <c r="D529" s="19" t="str">
        <f>IFERROR(VLOOKUP(C529, 'Project Master'!A:B, 2, FALSE), "")</f>
        <v/>
      </c>
      <c r="F529" s="10" t="str">
        <f t="shared" si="1"/>
        <v/>
      </c>
    </row>
    <row r="530">
      <c r="A530" s="22"/>
      <c r="C530" s="10"/>
      <c r="D530" s="19" t="str">
        <f>IFERROR(VLOOKUP(C530, 'Project Master'!A:B, 2, FALSE), "")</f>
        <v/>
      </c>
      <c r="F530" s="10" t="str">
        <f t="shared" si="1"/>
        <v/>
      </c>
    </row>
    <row r="531">
      <c r="A531" s="22"/>
      <c r="C531" s="10"/>
      <c r="D531" s="19" t="str">
        <f>IFERROR(VLOOKUP(C531, 'Project Master'!A:B, 2, FALSE), "")</f>
        <v/>
      </c>
      <c r="F531" s="10" t="str">
        <f t="shared" si="1"/>
        <v/>
      </c>
    </row>
    <row r="532">
      <c r="A532" s="22"/>
      <c r="C532" s="10"/>
      <c r="D532" s="19" t="str">
        <f>IFERROR(VLOOKUP(C532, 'Project Master'!A:B, 2, FALSE), "")</f>
        <v/>
      </c>
      <c r="F532" s="10" t="str">
        <f t="shared" si="1"/>
        <v/>
      </c>
    </row>
    <row r="533">
      <c r="A533" s="22"/>
      <c r="C533" s="10"/>
      <c r="D533" s="19" t="str">
        <f>IFERROR(VLOOKUP(C533, 'Project Master'!A:B, 2, FALSE), "")</f>
        <v/>
      </c>
      <c r="F533" s="10" t="str">
        <f t="shared" si="1"/>
        <v/>
      </c>
    </row>
    <row r="534">
      <c r="A534" s="22"/>
      <c r="C534" s="10"/>
      <c r="D534" s="19" t="str">
        <f>IFERROR(VLOOKUP(C534, 'Project Master'!A:B, 2, FALSE), "")</f>
        <v/>
      </c>
      <c r="F534" s="10" t="str">
        <f t="shared" si="1"/>
        <v/>
      </c>
    </row>
    <row r="535">
      <c r="A535" s="22"/>
      <c r="C535" s="10"/>
      <c r="D535" s="19" t="str">
        <f>IFERROR(VLOOKUP(C535, 'Project Master'!A:B, 2, FALSE), "")</f>
        <v/>
      </c>
      <c r="F535" s="10" t="str">
        <f t="shared" si="1"/>
        <v/>
      </c>
    </row>
    <row r="536">
      <c r="A536" s="22"/>
      <c r="C536" s="10"/>
      <c r="D536" s="19" t="str">
        <f>IFERROR(VLOOKUP(C536, 'Project Master'!A:B, 2, FALSE), "")</f>
        <v/>
      </c>
      <c r="F536" s="10" t="str">
        <f t="shared" si="1"/>
        <v/>
      </c>
    </row>
    <row r="537">
      <c r="A537" s="22"/>
      <c r="C537" s="10"/>
      <c r="D537" s="19" t="str">
        <f>IFERROR(VLOOKUP(C537, 'Project Master'!A:B, 2, FALSE), "")</f>
        <v/>
      </c>
      <c r="F537" s="10" t="str">
        <f t="shared" si="1"/>
        <v/>
      </c>
    </row>
    <row r="538">
      <c r="A538" s="22"/>
      <c r="C538" s="10"/>
      <c r="D538" s="19" t="str">
        <f>IFERROR(VLOOKUP(C538, 'Project Master'!A:B, 2, FALSE), "")</f>
        <v/>
      </c>
      <c r="F538" s="10" t="str">
        <f t="shared" si="1"/>
        <v/>
      </c>
    </row>
    <row r="539">
      <c r="A539" s="22"/>
      <c r="C539" s="10"/>
      <c r="D539" s="19" t="str">
        <f>IFERROR(VLOOKUP(C539, 'Project Master'!A:B, 2, FALSE), "")</f>
        <v/>
      </c>
      <c r="F539" s="10" t="str">
        <f t="shared" si="1"/>
        <v/>
      </c>
    </row>
    <row r="540">
      <c r="A540" s="22"/>
      <c r="C540" s="10"/>
      <c r="D540" s="19" t="str">
        <f>IFERROR(VLOOKUP(C540, 'Project Master'!A:B, 2, FALSE), "")</f>
        <v/>
      </c>
      <c r="F540" s="10" t="str">
        <f t="shared" si="1"/>
        <v/>
      </c>
    </row>
    <row r="541">
      <c r="A541" s="22"/>
      <c r="C541" s="10"/>
      <c r="D541" s="19" t="str">
        <f>IFERROR(VLOOKUP(C541, 'Project Master'!A:B, 2, FALSE), "")</f>
        <v/>
      </c>
      <c r="F541" s="10" t="str">
        <f t="shared" si="1"/>
        <v/>
      </c>
    </row>
    <row r="542">
      <c r="A542" s="22"/>
      <c r="C542" s="10"/>
      <c r="D542" s="19" t="str">
        <f>IFERROR(VLOOKUP(C542, 'Project Master'!A:B, 2, FALSE), "")</f>
        <v/>
      </c>
      <c r="F542" s="10" t="str">
        <f t="shared" si="1"/>
        <v/>
      </c>
    </row>
    <row r="543">
      <c r="A543" s="22"/>
      <c r="C543" s="10"/>
      <c r="D543" s="19" t="str">
        <f>IFERROR(VLOOKUP(C543, 'Project Master'!A:B, 2, FALSE), "")</f>
        <v/>
      </c>
      <c r="F543" s="10" t="str">
        <f t="shared" si="1"/>
        <v/>
      </c>
    </row>
    <row r="544">
      <c r="A544" s="22"/>
      <c r="C544" s="10"/>
      <c r="D544" s="19" t="str">
        <f>IFERROR(VLOOKUP(C544, 'Project Master'!A:B, 2, FALSE), "")</f>
        <v/>
      </c>
      <c r="F544" s="10" t="str">
        <f t="shared" si="1"/>
        <v/>
      </c>
    </row>
    <row r="545">
      <c r="A545" s="22"/>
      <c r="C545" s="10"/>
      <c r="D545" s="19" t="str">
        <f>IFERROR(VLOOKUP(C545, 'Project Master'!A:B, 2, FALSE), "")</f>
        <v/>
      </c>
      <c r="F545" s="10" t="str">
        <f t="shared" si="1"/>
        <v/>
      </c>
    </row>
    <row r="546">
      <c r="A546" s="22"/>
      <c r="C546" s="10"/>
      <c r="D546" s="19" t="str">
        <f>IFERROR(VLOOKUP(C546, 'Project Master'!A:B, 2, FALSE), "")</f>
        <v/>
      </c>
      <c r="F546" s="10" t="str">
        <f t="shared" si="1"/>
        <v/>
      </c>
    </row>
    <row r="547">
      <c r="A547" s="22"/>
      <c r="C547" s="10"/>
      <c r="D547" s="19" t="str">
        <f>IFERROR(VLOOKUP(C547, 'Project Master'!A:B, 2, FALSE), "")</f>
        <v/>
      </c>
      <c r="F547" s="10" t="str">
        <f t="shared" si="1"/>
        <v/>
      </c>
    </row>
    <row r="548">
      <c r="A548" s="22"/>
      <c r="C548" s="10"/>
      <c r="D548" s="19" t="str">
        <f>IFERROR(VLOOKUP(C548, 'Project Master'!A:B, 2, FALSE), "")</f>
        <v/>
      </c>
      <c r="F548" s="10" t="str">
        <f t="shared" si="1"/>
        <v/>
      </c>
    </row>
    <row r="549">
      <c r="A549" s="22"/>
      <c r="C549" s="10"/>
      <c r="D549" s="19" t="str">
        <f>IFERROR(VLOOKUP(C549, 'Project Master'!A:B, 2, FALSE), "")</f>
        <v/>
      </c>
      <c r="F549" s="10" t="str">
        <f t="shared" si="1"/>
        <v/>
      </c>
    </row>
    <row r="550">
      <c r="A550" s="22"/>
      <c r="C550" s="10"/>
      <c r="D550" s="19" t="str">
        <f>IFERROR(VLOOKUP(C550, 'Project Master'!A:B, 2, FALSE), "")</f>
        <v/>
      </c>
      <c r="F550" s="10" t="str">
        <f t="shared" si="1"/>
        <v/>
      </c>
    </row>
    <row r="551">
      <c r="A551" s="22"/>
      <c r="C551" s="10"/>
      <c r="D551" s="19" t="str">
        <f>IFERROR(VLOOKUP(C551, 'Project Master'!A:B, 2, FALSE), "")</f>
        <v/>
      </c>
      <c r="F551" s="10" t="str">
        <f t="shared" si="1"/>
        <v/>
      </c>
    </row>
    <row r="552">
      <c r="A552" s="22"/>
      <c r="C552" s="10"/>
      <c r="D552" s="19" t="str">
        <f>IFERROR(VLOOKUP(C552, 'Project Master'!A:B, 2, FALSE), "")</f>
        <v/>
      </c>
      <c r="F552" s="10" t="str">
        <f t="shared" si="1"/>
        <v/>
      </c>
    </row>
    <row r="553">
      <c r="A553" s="22"/>
      <c r="C553" s="10"/>
      <c r="D553" s="19" t="str">
        <f>IFERROR(VLOOKUP(C553, 'Project Master'!A:B, 2, FALSE), "")</f>
        <v/>
      </c>
      <c r="F553" s="10" t="str">
        <f t="shared" si="1"/>
        <v/>
      </c>
    </row>
    <row r="554">
      <c r="A554" s="22"/>
      <c r="C554" s="10"/>
      <c r="D554" s="19" t="str">
        <f>IFERROR(VLOOKUP(C554, 'Project Master'!A:B, 2, FALSE), "")</f>
        <v/>
      </c>
      <c r="F554" s="10" t="str">
        <f t="shared" si="1"/>
        <v/>
      </c>
    </row>
    <row r="555">
      <c r="A555" s="22"/>
      <c r="C555" s="10"/>
      <c r="D555" s="19" t="str">
        <f>IFERROR(VLOOKUP(C555, 'Project Master'!A:B, 2, FALSE), "")</f>
        <v/>
      </c>
      <c r="F555" s="10" t="str">
        <f t="shared" si="1"/>
        <v/>
      </c>
    </row>
    <row r="556">
      <c r="A556" s="22"/>
      <c r="C556" s="10"/>
      <c r="D556" s="19" t="str">
        <f>IFERROR(VLOOKUP(C556, 'Project Master'!A:B, 2, FALSE), "")</f>
        <v/>
      </c>
      <c r="F556" s="10" t="str">
        <f t="shared" si="1"/>
        <v/>
      </c>
    </row>
    <row r="557">
      <c r="A557" s="22"/>
      <c r="C557" s="10"/>
      <c r="D557" s="19" t="str">
        <f>IFERROR(VLOOKUP(C557, 'Project Master'!A:B, 2, FALSE), "")</f>
        <v/>
      </c>
      <c r="F557" s="10" t="str">
        <f t="shared" si="1"/>
        <v/>
      </c>
    </row>
    <row r="558">
      <c r="A558" s="22"/>
      <c r="C558" s="10"/>
      <c r="D558" s="19" t="str">
        <f>IFERROR(VLOOKUP(C558, 'Project Master'!A:B, 2, FALSE), "")</f>
        <v/>
      </c>
      <c r="F558" s="10" t="str">
        <f t="shared" si="1"/>
        <v/>
      </c>
    </row>
    <row r="559">
      <c r="A559" s="22"/>
      <c r="C559" s="10"/>
      <c r="D559" s="19" t="str">
        <f>IFERROR(VLOOKUP(C559, 'Project Master'!A:B, 2, FALSE), "")</f>
        <v/>
      </c>
      <c r="F559" s="10" t="str">
        <f t="shared" si="1"/>
        <v/>
      </c>
    </row>
    <row r="560">
      <c r="A560" s="22"/>
      <c r="C560" s="10"/>
      <c r="D560" s="19" t="str">
        <f>IFERROR(VLOOKUP(C560, 'Project Master'!A:B, 2, FALSE), "")</f>
        <v/>
      </c>
      <c r="F560" s="10" t="str">
        <f t="shared" si="1"/>
        <v/>
      </c>
    </row>
    <row r="561">
      <c r="A561" s="22"/>
      <c r="C561" s="10"/>
      <c r="D561" s="19" t="str">
        <f>IFERROR(VLOOKUP(C561, 'Project Master'!A:B, 2, FALSE), "")</f>
        <v/>
      </c>
      <c r="F561" s="10" t="str">
        <f t="shared" si="1"/>
        <v/>
      </c>
    </row>
    <row r="562">
      <c r="A562" s="22"/>
      <c r="C562" s="10"/>
      <c r="D562" s="19" t="str">
        <f>IFERROR(VLOOKUP(C562, 'Project Master'!A:B, 2, FALSE), "")</f>
        <v/>
      </c>
      <c r="F562" s="10" t="str">
        <f t="shared" si="1"/>
        <v/>
      </c>
    </row>
    <row r="563">
      <c r="A563" s="22"/>
      <c r="C563" s="10"/>
      <c r="D563" s="19" t="str">
        <f>IFERROR(VLOOKUP(C563, 'Project Master'!A:B, 2, FALSE), "")</f>
        <v/>
      </c>
      <c r="F563" s="10" t="str">
        <f t="shared" si="1"/>
        <v/>
      </c>
    </row>
    <row r="564">
      <c r="A564" s="22"/>
      <c r="C564" s="10"/>
      <c r="D564" s="19" t="str">
        <f>IFERROR(VLOOKUP(C564, 'Project Master'!A:B, 2, FALSE), "")</f>
        <v/>
      </c>
      <c r="F564" s="10" t="str">
        <f t="shared" si="1"/>
        <v/>
      </c>
    </row>
    <row r="565">
      <c r="A565" s="22"/>
      <c r="C565" s="10"/>
      <c r="D565" s="19" t="str">
        <f>IFERROR(VLOOKUP(C565, 'Project Master'!A:B, 2, FALSE), "")</f>
        <v/>
      </c>
      <c r="F565" s="10" t="str">
        <f t="shared" si="1"/>
        <v/>
      </c>
    </row>
    <row r="566">
      <c r="A566" s="22"/>
      <c r="C566" s="10"/>
      <c r="D566" s="19" t="str">
        <f>IFERROR(VLOOKUP(C566, 'Project Master'!A:B, 2, FALSE), "")</f>
        <v/>
      </c>
      <c r="F566" s="10" t="str">
        <f t="shared" si="1"/>
        <v/>
      </c>
    </row>
    <row r="567">
      <c r="A567" s="22"/>
      <c r="C567" s="10"/>
      <c r="D567" s="19" t="str">
        <f>IFERROR(VLOOKUP(C567, 'Project Master'!A:B, 2, FALSE), "")</f>
        <v/>
      </c>
      <c r="F567" s="10" t="str">
        <f t="shared" si="1"/>
        <v/>
      </c>
    </row>
    <row r="568">
      <c r="A568" s="22"/>
      <c r="C568" s="10"/>
      <c r="D568" s="19" t="str">
        <f>IFERROR(VLOOKUP(C568, 'Project Master'!A:B, 2, FALSE), "")</f>
        <v/>
      </c>
      <c r="F568" s="10" t="str">
        <f t="shared" si="1"/>
        <v/>
      </c>
    </row>
    <row r="569">
      <c r="A569" s="22"/>
      <c r="C569" s="10"/>
      <c r="D569" s="19" t="str">
        <f>IFERROR(VLOOKUP(C569, 'Project Master'!A:B, 2, FALSE), "")</f>
        <v/>
      </c>
      <c r="F569" s="10" t="str">
        <f t="shared" si="1"/>
        <v/>
      </c>
    </row>
    <row r="570">
      <c r="A570" s="22"/>
      <c r="C570" s="10"/>
      <c r="D570" s="19" t="str">
        <f>IFERROR(VLOOKUP(C570, 'Project Master'!A:B, 2, FALSE), "")</f>
        <v/>
      </c>
      <c r="F570" s="10" t="str">
        <f t="shared" si="1"/>
        <v/>
      </c>
    </row>
    <row r="571">
      <c r="A571" s="22"/>
      <c r="C571" s="10"/>
      <c r="D571" s="19" t="str">
        <f>IFERROR(VLOOKUP(C571, 'Project Master'!A:B, 2, FALSE), "")</f>
        <v/>
      </c>
      <c r="F571" s="10" t="str">
        <f t="shared" si="1"/>
        <v/>
      </c>
    </row>
    <row r="572">
      <c r="A572" s="22"/>
      <c r="C572" s="10"/>
      <c r="D572" s="19" t="str">
        <f>IFERROR(VLOOKUP(C572, 'Project Master'!A:B, 2, FALSE), "")</f>
        <v/>
      </c>
      <c r="F572" s="10" t="str">
        <f t="shared" si="1"/>
        <v/>
      </c>
    </row>
    <row r="573">
      <c r="A573" s="22"/>
      <c r="C573" s="10"/>
      <c r="D573" s="19" t="str">
        <f>IFERROR(VLOOKUP(C573, 'Project Master'!A:B, 2, FALSE), "")</f>
        <v/>
      </c>
      <c r="F573" s="10" t="str">
        <f t="shared" si="1"/>
        <v/>
      </c>
    </row>
    <row r="574">
      <c r="A574" s="22"/>
      <c r="C574" s="10"/>
      <c r="D574" s="19" t="str">
        <f>IFERROR(VLOOKUP(C574, 'Project Master'!A:B, 2, FALSE), "")</f>
        <v/>
      </c>
      <c r="F574" s="10" t="str">
        <f t="shared" si="1"/>
        <v/>
      </c>
    </row>
    <row r="575">
      <c r="A575" s="22"/>
      <c r="C575" s="10"/>
      <c r="D575" s="19" t="str">
        <f>IFERROR(VLOOKUP(C575, 'Project Master'!A:B, 2, FALSE), "")</f>
        <v/>
      </c>
      <c r="F575" s="10" t="str">
        <f t="shared" si="1"/>
        <v/>
      </c>
    </row>
    <row r="576">
      <c r="A576" s="22"/>
      <c r="C576" s="10"/>
      <c r="D576" s="19" t="str">
        <f>IFERROR(VLOOKUP(C576, 'Project Master'!A:B, 2, FALSE), "")</f>
        <v/>
      </c>
      <c r="F576" s="10" t="str">
        <f t="shared" si="1"/>
        <v/>
      </c>
    </row>
    <row r="577">
      <c r="A577" s="22"/>
      <c r="C577" s="10"/>
      <c r="D577" s="19" t="str">
        <f>IFERROR(VLOOKUP(C577, 'Project Master'!A:B, 2, FALSE), "")</f>
        <v/>
      </c>
      <c r="F577" s="10" t="str">
        <f t="shared" si="1"/>
        <v/>
      </c>
    </row>
    <row r="578">
      <c r="A578" s="22"/>
      <c r="C578" s="10"/>
      <c r="D578" s="19" t="str">
        <f>IFERROR(VLOOKUP(C578, 'Project Master'!A:B, 2, FALSE), "")</f>
        <v/>
      </c>
      <c r="F578" s="10" t="str">
        <f t="shared" si="1"/>
        <v/>
      </c>
    </row>
    <row r="579">
      <c r="A579" s="22"/>
      <c r="C579" s="10"/>
      <c r="D579" s="19" t="str">
        <f>IFERROR(VLOOKUP(C579, 'Project Master'!A:B, 2, FALSE), "")</f>
        <v/>
      </c>
      <c r="F579" s="10" t="str">
        <f t="shared" si="1"/>
        <v/>
      </c>
    </row>
    <row r="580">
      <c r="A580" s="22"/>
      <c r="C580" s="10"/>
      <c r="D580" s="19" t="str">
        <f>IFERROR(VLOOKUP(C580, 'Project Master'!A:B, 2, FALSE), "")</f>
        <v/>
      </c>
      <c r="F580" s="10" t="str">
        <f t="shared" si="1"/>
        <v/>
      </c>
    </row>
    <row r="581">
      <c r="A581" s="22"/>
      <c r="C581" s="10"/>
      <c r="D581" s="19" t="str">
        <f>IFERROR(VLOOKUP(C581, 'Project Master'!A:B, 2, FALSE), "")</f>
        <v/>
      </c>
      <c r="F581" s="10" t="str">
        <f t="shared" si="1"/>
        <v/>
      </c>
    </row>
    <row r="582">
      <c r="A582" s="22"/>
      <c r="C582" s="10"/>
      <c r="D582" s="19" t="str">
        <f>IFERROR(VLOOKUP(C582, 'Project Master'!A:B, 2, FALSE), "")</f>
        <v/>
      </c>
      <c r="F582" s="10" t="str">
        <f t="shared" si="1"/>
        <v/>
      </c>
    </row>
    <row r="583">
      <c r="A583" s="22"/>
      <c r="C583" s="10"/>
      <c r="D583" s="19" t="str">
        <f>IFERROR(VLOOKUP(C583, 'Project Master'!A:B, 2, FALSE), "")</f>
        <v/>
      </c>
      <c r="F583" s="10" t="str">
        <f t="shared" si="1"/>
        <v/>
      </c>
    </row>
    <row r="584">
      <c r="A584" s="22"/>
      <c r="C584" s="10"/>
      <c r="D584" s="19" t="str">
        <f>IFERROR(VLOOKUP(C584, 'Project Master'!A:B, 2, FALSE), "")</f>
        <v/>
      </c>
      <c r="F584" s="10" t="str">
        <f t="shared" si="1"/>
        <v/>
      </c>
    </row>
    <row r="585">
      <c r="A585" s="22"/>
      <c r="C585" s="10"/>
      <c r="D585" s="19" t="str">
        <f>IFERROR(VLOOKUP(C585, 'Project Master'!A:B, 2, FALSE), "")</f>
        <v/>
      </c>
      <c r="F585" s="10" t="str">
        <f t="shared" si="1"/>
        <v/>
      </c>
    </row>
    <row r="586">
      <c r="A586" s="22"/>
      <c r="C586" s="10"/>
      <c r="D586" s="19" t="str">
        <f>IFERROR(VLOOKUP(C586, 'Project Master'!A:B, 2, FALSE), "")</f>
        <v/>
      </c>
      <c r="F586" s="10" t="str">
        <f t="shared" si="1"/>
        <v/>
      </c>
    </row>
    <row r="587">
      <c r="A587" s="22"/>
      <c r="C587" s="10"/>
      <c r="D587" s="19" t="str">
        <f>IFERROR(VLOOKUP(C587, 'Project Master'!A:B, 2, FALSE), "")</f>
        <v/>
      </c>
      <c r="F587" s="10" t="str">
        <f t="shared" si="1"/>
        <v/>
      </c>
    </row>
    <row r="588">
      <c r="A588" s="22"/>
      <c r="C588" s="10"/>
      <c r="D588" s="19" t="str">
        <f>IFERROR(VLOOKUP(C588, 'Project Master'!A:B, 2, FALSE), "")</f>
        <v/>
      </c>
      <c r="F588" s="10" t="str">
        <f t="shared" si="1"/>
        <v/>
      </c>
    </row>
    <row r="589">
      <c r="A589" s="22"/>
      <c r="C589" s="10"/>
      <c r="D589" s="19" t="str">
        <f>IFERROR(VLOOKUP(C589, 'Project Master'!A:B, 2, FALSE), "")</f>
        <v/>
      </c>
      <c r="F589" s="10" t="str">
        <f t="shared" si="1"/>
        <v/>
      </c>
    </row>
    <row r="590">
      <c r="A590" s="22"/>
      <c r="C590" s="10"/>
      <c r="D590" s="19" t="str">
        <f>IFERROR(VLOOKUP(C590, 'Project Master'!A:B, 2, FALSE), "")</f>
        <v/>
      </c>
      <c r="F590" s="10" t="str">
        <f t="shared" si="1"/>
        <v/>
      </c>
    </row>
    <row r="591">
      <c r="A591" s="22"/>
      <c r="C591" s="10"/>
      <c r="D591" s="19" t="str">
        <f>IFERROR(VLOOKUP(C591, 'Project Master'!A:B, 2, FALSE), "")</f>
        <v/>
      </c>
      <c r="F591" s="10" t="str">
        <f t="shared" si="1"/>
        <v/>
      </c>
    </row>
    <row r="592">
      <c r="A592" s="22"/>
      <c r="C592" s="10"/>
      <c r="D592" s="19" t="str">
        <f>IFERROR(VLOOKUP(C592, 'Project Master'!A:B, 2, FALSE), "")</f>
        <v/>
      </c>
      <c r="F592" s="10" t="str">
        <f t="shared" si="1"/>
        <v/>
      </c>
    </row>
    <row r="593">
      <c r="A593" s="22"/>
      <c r="C593" s="10"/>
      <c r="D593" s="19" t="str">
        <f>IFERROR(VLOOKUP(C593, 'Project Master'!A:B, 2, FALSE), "")</f>
        <v/>
      </c>
      <c r="F593" s="10" t="str">
        <f t="shared" si="1"/>
        <v/>
      </c>
    </row>
    <row r="594">
      <c r="A594" s="22"/>
      <c r="C594" s="10"/>
      <c r="D594" s="19" t="str">
        <f>IFERROR(VLOOKUP(C594, 'Project Master'!A:B, 2, FALSE), "")</f>
        <v/>
      </c>
      <c r="F594" s="10" t="str">
        <f t="shared" si="1"/>
        <v/>
      </c>
    </row>
    <row r="595">
      <c r="A595" s="22"/>
      <c r="C595" s="10"/>
      <c r="D595" s="19" t="str">
        <f>IFERROR(VLOOKUP(C595, 'Project Master'!A:B, 2, FALSE), "")</f>
        <v/>
      </c>
      <c r="F595" s="10" t="str">
        <f t="shared" si="1"/>
        <v/>
      </c>
    </row>
    <row r="596">
      <c r="A596" s="22"/>
      <c r="C596" s="10"/>
      <c r="D596" s="19" t="str">
        <f>IFERROR(VLOOKUP(C596, 'Project Master'!A:B, 2, FALSE), "")</f>
        <v/>
      </c>
      <c r="F596" s="10" t="str">
        <f t="shared" si="1"/>
        <v/>
      </c>
    </row>
    <row r="597">
      <c r="A597" s="22"/>
      <c r="C597" s="10"/>
      <c r="D597" s="19" t="str">
        <f>IFERROR(VLOOKUP(C597, 'Project Master'!A:B, 2, FALSE), "")</f>
        <v/>
      </c>
      <c r="F597" s="10" t="str">
        <f t="shared" si="1"/>
        <v/>
      </c>
    </row>
    <row r="598">
      <c r="A598" s="22"/>
      <c r="C598" s="10"/>
      <c r="D598" s="19" t="str">
        <f>IFERROR(VLOOKUP(C598, 'Project Master'!A:B, 2, FALSE), "")</f>
        <v/>
      </c>
      <c r="F598" s="10" t="str">
        <f t="shared" si="1"/>
        <v/>
      </c>
    </row>
    <row r="599">
      <c r="A599" s="22"/>
      <c r="C599" s="10"/>
      <c r="D599" s="19" t="str">
        <f>IFERROR(VLOOKUP(C599, 'Project Master'!A:B, 2, FALSE), "")</f>
        <v/>
      </c>
      <c r="F599" s="10" t="str">
        <f t="shared" si="1"/>
        <v/>
      </c>
    </row>
    <row r="600">
      <c r="A600" s="22"/>
      <c r="C600" s="10"/>
      <c r="D600" s="19" t="str">
        <f>IFERROR(VLOOKUP(C600, 'Project Master'!A:B, 2, FALSE), "")</f>
        <v/>
      </c>
      <c r="F600" s="10" t="str">
        <f t="shared" si="1"/>
        <v/>
      </c>
    </row>
    <row r="601">
      <c r="A601" s="22"/>
      <c r="C601" s="10"/>
      <c r="D601" s="19" t="str">
        <f>IFERROR(VLOOKUP(C601, 'Project Master'!A:B, 2, FALSE), "")</f>
        <v/>
      </c>
      <c r="F601" s="10" t="str">
        <f t="shared" si="1"/>
        <v/>
      </c>
    </row>
    <row r="602">
      <c r="A602" s="22"/>
      <c r="C602" s="10"/>
      <c r="D602" s="19" t="str">
        <f>IFERROR(VLOOKUP(C602, 'Project Master'!A:B, 2, FALSE), "")</f>
        <v/>
      </c>
      <c r="F602" s="10" t="str">
        <f t="shared" si="1"/>
        <v/>
      </c>
    </row>
    <row r="603">
      <c r="A603" s="22"/>
      <c r="C603" s="10"/>
      <c r="D603" s="19" t="str">
        <f>IFERROR(VLOOKUP(C603, 'Project Master'!A:B, 2, FALSE), "")</f>
        <v/>
      </c>
      <c r="F603" s="10" t="str">
        <f t="shared" si="1"/>
        <v/>
      </c>
    </row>
    <row r="604">
      <c r="A604" s="22"/>
      <c r="C604" s="10"/>
      <c r="D604" s="19" t="str">
        <f>IFERROR(VLOOKUP(C604, 'Project Master'!A:B, 2, FALSE), "")</f>
        <v/>
      </c>
      <c r="F604" s="10" t="str">
        <f t="shared" si="1"/>
        <v/>
      </c>
    </row>
    <row r="605">
      <c r="A605" s="22"/>
      <c r="C605" s="10"/>
      <c r="D605" s="19" t="str">
        <f>IFERROR(VLOOKUP(C605, 'Project Master'!A:B, 2, FALSE), "")</f>
        <v/>
      </c>
      <c r="F605" s="10" t="str">
        <f t="shared" si="1"/>
        <v/>
      </c>
    </row>
    <row r="606">
      <c r="A606" s="22"/>
      <c r="C606" s="10"/>
      <c r="D606" s="19" t="str">
        <f>IFERROR(VLOOKUP(C606, 'Project Master'!A:B, 2, FALSE), "")</f>
        <v/>
      </c>
      <c r="F606" s="10" t="str">
        <f t="shared" si="1"/>
        <v/>
      </c>
    </row>
    <row r="607">
      <c r="A607" s="22"/>
      <c r="C607" s="10"/>
      <c r="D607" s="19" t="str">
        <f>IFERROR(VLOOKUP(C607, 'Project Master'!A:B, 2, FALSE), "")</f>
        <v/>
      </c>
      <c r="F607" s="10" t="str">
        <f t="shared" si="1"/>
        <v/>
      </c>
    </row>
    <row r="608">
      <c r="A608" s="22"/>
      <c r="C608" s="10"/>
      <c r="D608" s="19" t="str">
        <f>IFERROR(VLOOKUP(C608, 'Project Master'!A:B, 2, FALSE), "")</f>
        <v/>
      </c>
      <c r="F608" s="10" t="str">
        <f t="shared" si="1"/>
        <v/>
      </c>
    </row>
    <row r="609">
      <c r="A609" s="22"/>
      <c r="C609" s="10"/>
      <c r="D609" s="19" t="str">
        <f>IFERROR(VLOOKUP(C609, 'Project Master'!A:B, 2, FALSE), "")</f>
        <v/>
      </c>
      <c r="F609" s="10" t="str">
        <f t="shared" si="1"/>
        <v/>
      </c>
    </row>
    <row r="610">
      <c r="A610" s="22"/>
      <c r="C610" s="10"/>
      <c r="D610" s="19" t="str">
        <f>IFERROR(VLOOKUP(C610, 'Project Master'!A:B, 2, FALSE), "")</f>
        <v/>
      </c>
      <c r="F610" s="10" t="str">
        <f t="shared" si="1"/>
        <v/>
      </c>
    </row>
    <row r="611">
      <c r="A611" s="22"/>
      <c r="C611" s="10"/>
      <c r="D611" s="19" t="str">
        <f>IFERROR(VLOOKUP(C611, 'Project Master'!A:B, 2, FALSE), "")</f>
        <v/>
      </c>
      <c r="F611" s="10" t="str">
        <f t="shared" si="1"/>
        <v/>
      </c>
    </row>
    <row r="612">
      <c r="A612" s="22"/>
      <c r="C612" s="10"/>
      <c r="D612" s="19" t="str">
        <f>IFERROR(VLOOKUP(C612, 'Project Master'!A:B, 2, FALSE), "")</f>
        <v/>
      </c>
      <c r="F612" s="10" t="str">
        <f t="shared" si="1"/>
        <v/>
      </c>
    </row>
    <row r="613">
      <c r="A613" s="22"/>
      <c r="C613" s="10"/>
      <c r="D613" s="19" t="str">
        <f>IFERROR(VLOOKUP(C613, 'Project Master'!A:B, 2, FALSE), "")</f>
        <v/>
      </c>
      <c r="F613" s="10" t="str">
        <f t="shared" si="1"/>
        <v/>
      </c>
    </row>
    <row r="614">
      <c r="A614" s="22"/>
      <c r="C614" s="10"/>
      <c r="D614" s="19" t="str">
        <f>IFERROR(VLOOKUP(C614, 'Project Master'!A:B, 2, FALSE), "")</f>
        <v/>
      </c>
      <c r="F614" s="10" t="str">
        <f t="shared" si="1"/>
        <v/>
      </c>
    </row>
    <row r="615">
      <c r="A615" s="22"/>
      <c r="C615" s="10"/>
      <c r="D615" s="19" t="str">
        <f>IFERROR(VLOOKUP(C615, 'Project Master'!A:B, 2, FALSE), "")</f>
        <v/>
      </c>
      <c r="F615" s="10" t="str">
        <f t="shared" si="1"/>
        <v/>
      </c>
    </row>
    <row r="616">
      <c r="A616" s="22"/>
      <c r="C616" s="10"/>
      <c r="D616" s="19" t="str">
        <f>IFERROR(VLOOKUP(C616, 'Project Master'!A:B, 2, FALSE), "")</f>
        <v/>
      </c>
      <c r="F616" s="10" t="str">
        <f t="shared" si="1"/>
        <v/>
      </c>
    </row>
    <row r="617">
      <c r="A617" s="22"/>
      <c r="C617" s="10"/>
      <c r="D617" s="19" t="str">
        <f>IFERROR(VLOOKUP(C617, 'Project Master'!A:B, 2, FALSE), "")</f>
        <v/>
      </c>
      <c r="F617" s="10" t="str">
        <f t="shared" si="1"/>
        <v/>
      </c>
    </row>
    <row r="618">
      <c r="A618" s="22"/>
      <c r="C618" s="10"/>
      <c r="D618" s="19" t="str">
        <f>IFERROR(VLOOKUP(C618, 'Project Master'!A:B, 2, FALSE), "")</f>
        <v/>
      </c>
      <c r="F618" s="10" t="str">
        <f t="shared" si="1"/>
        <v/>
      </c>
    </row>
    <row r="619">
      <c r="A619" s="22"/>
      <c r="C619" s="10"/>
      <c r="D619" s="19" t="str">
        <f>IFERROR(VLOOKUP(C619, 'Project Master'!A:B, 2, FALSE), "")</f>
        <v/>
      </c>
      <c r="F619" s="10" t="str">
        <f t="shared" si="1"/>
        <v/>
      </c>
    </row>
    <row r="620">
      <c r="A620" s="22"/>
      <c r="C620" s="10"/>
      <c r="D620" s="19" t="str">
        <f>IFERROR(VLOOKUP(C620, 'Project Master'!A:B, 2, FALSE), "")</f>
        <v/>
      </c>
      <c r="F620" s="10" t="str">
        <f t="shared" si="1"/>
        <v/>
      </c>
    </row>
    <row r="621">
      <c r="A621" s="22"/>
      <c r="C621" s="10"/>
      <c r="D621" s="19" t="str">
        <f>IFERROR(VLOOKUP(C621, 'Project Master'!A:B, 2, FALSE), "")</f>
        <v/>
      </c>
      <c r="F621" s="10" t="str">
        <f t="shared" si="1"/>
        <v/>
      </c>
    </row>
    <row r="622">
      <c r="A622" s="22"/>
      <c r="C622" s="10"/>
      <c r="D622" s="19" t="str">
        <f>IFERROR(VLOOKUP(C622, 'Project Master'!A:B, 2, FALSE), "")</f>
        <v/>
      </c>
      <c r="F622" s="10" t="str">
        <f t="shared" si="1"/>
        <v/>
      </c>
    </row>
    <row r="623">
      <c r="A623" s="22"/>
      <c r="C623" s="10"/>
      <c r="D623" s="19" t="str">
        <f>IFERROR(VLOOKUP(C623, 'Project Master'!A:B, 2, FALSE), "")</f>
        <v/>
      </c>
      <c r="F623" s="10" t="str">
        <f t="shared" si="1"/>
        <v/>
      </c>
    </row>
    <row r="624">
      <c r="A624" s="22"/>
      <c r="C624" s="10"/>
      <c r="D624" s="19" t="str">
        <f>IFERROR(VLOOKUP(C624, 'Project Master'!A:B, 2, FALSE), "")</f>
        <v/>
      </c>
      <c r="F624" s="10" t="str">
        <f t="shared" si="1"/>
        <v/>
      </c>
    </row>
    <row r="625">
      <c r="A625" s="22"/>
      <c r="C625" s="10"/>
      <c r="D625" s="19" t="str">
        <f>IFERROR(VLOOKUP(C625, 'Project Master'!A:B, 2, FALSE), "")</f>
        <v/>
      </c>
      <c r="F625" s="10" t="str">
        <f t="shared" si="1"/>
        <v/>
      </c>
    </row>
    <row r="626">
      <c r="A626" s="22"/>
      <c r="C626" s="10"/>
      <c r="D626" s="19" t="str">
        <f>IFERROR(VLOOKUP(C626, 'Project Master'!A:B, 2, FALSE), "")</f>
        <v/>
      </c>
      <c r="F626" s="10" t="str">
        <f t="shared" si="1"/>
        <v/>
      </c>
    </row>
    <row r="627">
      <c r="A627" s="22"/>
      <c r="C627" s="10"/>
      <c r="D627" s="19" t="str">
        <f>IFERROR(VLOOKUP(C627, 'Project Master'!A:B, 2, FALSE), "")</f>
        <v/>
      </c>
      <c r="F627" s="10" t="str">
        <f t="shared" si="1"/>
        <v/>
      </c>
    </row>
    <row r="628">
      <c r="A628" s="22"/>
      <c r="C628" s="10"/>
      <c r="D628" s="19" t="str">
        <f>IFERROR(VLOOKUP(C628, 'Project Master'!A:B, 2, FALSE), "")</f>
        <v/>
      </c>
      <c r="F628" s="10" t="str">
        <f t="shared" si="1"/>
        <v/>
      </c>
    </row>
    <row r="629">
      <c r="A629" s="22"/>
      <c r="C629" s="10"/>
      <c r="D629" s="19" t="str">
        <f>IFERROR(VLOOKUP(C629, 'Project Master'!A:B, 2, FALSE), "")</f>
        <v/>
      </c>
      <c r="F629" s="10" t="str">
        <f t="shared" si="1"/>
        <v/>
      </c>
    </row>
    <row r="630">
      <c r="A630" s="22"/>
      <c r="C630" s="10"/>
      <c r="D630" s="19" t="str">
        <f>IFERROR(VLOOKUP(C630, 'Project Master'!A:B, 2, FALSE), "")</f>
        <v/>
      </c>
      <c r="F630" s="10" t="str">
        <f t="shared" si="1"/>
        <v/>
      </c>
    </row>
    <row r="631">
      <c r="A631" s="22"/>
      <c r="C631" s="10"/>
      <c r="D631" s="19" t="str">
        <f>IFERROR(VLOOKUP(C631, 'Project Master'!A:B, 2, FALSE), "")</f>
        <v/>
      </c>
      <c r="F631" s="10" t="str">
        <f t="shared" si="1"/>
        <v/>
      </c>
    </row>
    <row r="632">
      <c r="A632" s="22"/>
      <c r="C632" s="10"/>
      <c r="D632" s="19" t="str">
        <f>IFERROR(VLOOKUP(C632, 'Project Master'!A:B, 2, FALSE), "")</f>
        <v/>
      </c>
      <c r="F632" s="10" t="str">
        <f t="shared" si="1"/>
        <v/>
      </c>
    </row>
    <row r="633">
      <c r="A633" s="22"/>
      <c r="C633" s="10"/>
      <c r="D633" s="19" t="str">
        <f>IFERROR(VLOOKUP(C633, 'Project Master'!A:B, 2, FALSE), "")</f>
        <v/>
      </c>
      <c r="F633" s="10" t="str">
        <f t="shared" si="1"/>
        <v/>
      </c>
    </row>
    <row r="634">
      <c r="A634" s="22"/>
      <c r="C634" s="10"/>
      <c r="D634" s="19" t="str">
        <f>IFERROR(VLOOKUP(C634, 'Project Master'!A:B, 2, FALSE), "")</f>
        <v/>
      </c>
      <c r="F634" s="10" t="str">
        <f t="shared" si="1"/>
        <v/>
      </c>
    </row>
    <row r="635">
      <c r="A635" s="22"/>
      <c r="C635" s="10"/>
      <c r="D635" s="19" t="str">
        <f>IFERROR(VLOOKUP(C635, 'Project Master'!A:B, 2, FALSE), "")</f>
        <v/>
      </c>
      <c r="F635" s="10" t="str">
        <f t="shared" si="1"/>
        <v/>
      </c>
    </row>
    <row r="636">
      <c r="A636" s="22"/>
      <c r="C636" s="10"/>
      <c r="D636" s="19" t="str">
        <f>IFERROR(VLOOKUP(C636, 'Project Master'!A:B, 2, FALSE), "")</f>
        <v/>
      </c>
      <c r="F636" s="10" t="str">
        <f t="shared" si="1"/>
        <v/>
      </c>
    </row>
    <row r="637">
      <c r="A637" s="22"/>
      <c r="C637" s="10"/>
      <c r="D637" s="19" t="str">
        <f>IFERROR(VLOOKUP(C637, 'Project Master'!A:B, 2, FALSE), "")</f>
        <v/>
      </c>
      <c r="F637" s="10" t="str">
        <f t="shared" si="1"/>
        <v/>
      </c>
    </row>
    <row r="638">
      <c r="A638" s="22"/>
      <c r="C638" s="10"/>
      <c r="D638" s="19" t="str">
        <f>IFERROR(VLOOKUP(C638, 'Project Master'!A:B, 2, FALSE), "")</f>
        <v/>
      </c>
      <c r="F638" s="10" t="str">
        <f t="shared" si="1"/>
        <v/>
      </c>
    </row>
    <row r="639">
      <c r="A639" s="22"/>
      <c r="C639" s="10"/>
      <c r="D639" s="19" t="str">
        <f>IFERROR(VLOOKUP(C639, 'Project Master'!A:B, 2, FALSE), "")</f>
        <v/>
      </c>
      <c r="F639" s="10" t="str">
        <f t="shared" si="1"/>
        <v/>
      </c>
    </row>
    <row r="640">
      <c r="A640" s="22"/>
      <c r="C640" s="10"/>
      <c r="D640" s="19" t="str">
        <f>IFERROR(VLOOKUP(C640, 'Project Master'!A:B, 2, FALSE), "")</f>
        <v/>
      </c>
      <c r="F640" s="10" t="str">
        <f t="shared" si="1"/>
        <v/>
      </c>
    </row>
    <row r="641">
      <c r="A641" s="22"/>
      <c r="C641" s="10"/>
      <c r="D641" s="19" t="str">
        <f>IFERROR(VLOOKUP(C641, 'Project Master'!A:B, 2, FALSE), "")</f>
        <v/>
      </c>
      <c r="F641" s="10" t="str">
        <f t="shared" si="1"/>
        <v/>
      </c>
    </row>
    <row r="642">
      <c r="A642" s="22"/>
      <c r="C642" s="10"/>
      <c r="D642" s="19" t="str">
        <f>IFERROR(VLOOKUP(C642, 'Project Master'!A:B, 2, FALSE), "")</f>
        <v/>
      </c>
      <c r="F642" s="10" t="str">
        <f t="shared" si="1"/>
        <v/>
      </c>
    </row>
    <row r="643">
      <c r="A643" s="22"/>
      <c r="C643" s="10"/>
      <c r="D643" s="19" t="str">
        <f>IFERROR(VLOOKUP(C643, 'Project Master'!A:B, 2, FALSE), "")</f>
        <v/>
      </c>
      <c r="F643" s="10" t="str">
        <f t="shared" si="1"/>
        <v/>
      </c>
    </row>
    <row r="644">
      <c r="A644" s="22"/>
      <c r="C644" s="10"/>
      <c r="D644" s="19" t="str">
        <f>IFERROR(VLOOKUP(C644, 'Project Master'!A:B, 2, FALSE), "")</f>
        <v/>
      </c>
      <c r="F644" s="10" t="str">
        <f t="shared" si="1"/>
        <v/>
      </c>
    </row>
    <row r="645">
      <c r="A645" s="22"/>
      <c r="C645" s="10"/>
      <c r="D645" s="19" t="str">
        <f>IFERROR(VLOOKUP(C645, 'Project Master'!A:B, 2, FALSE), "")</f>
        <v/>
      </c>
      <c r="F645" s="10" t="str">
        <f t="shared" si="1"/>
        <v/>
      </c>
    </row>
    <row r="646">
      <c r="A646" s="22"/>
      <c r="C646" s="10"/>
      <c r="D646" s="19" t="str">
        <f>IFERROR(VLOOKUP(C646, 'Project Master'!A:B, 2, FALSE), "")</f>
        <v/>
      </c>
      <c r="F646" s="10" t="str">
        <f t="shared" si="1"/>
        <v/>
      </c>
    </row>
    <row r="647">
      <c r="A647" s="22"/>
      <c r="C647" s="10"/>
      <c r="D647" s="19" t="str">
        <f>IFERROR(VLOOKUP(C647, 'Project Master'!A:B, 2, FALSE), "")</f>
        <v/>
      </c>
      <c r="F647" s="10" t="str">
        <f t="shared" si="1"/>
        <v/>
      </c>
    </row>
    <row r="648">
      <c r="A648" s="22"/>
      <c r="C648" s="10"/>
      <c r="D648" s="19" t="str">
        <f>IFERROR(VLOOKUP(C648, 'Project Master'!A:B, 2, FALSE), "")</f>
        <v/>
      </c>
      <c r="F648" s="10" t="str">
        <f t="shared" si="1"/>
        <v/>
      </c>
    </row>
    <row r="649">
      <c r="A649" s="22"/>
      <c r="C649" s="10"/>
      <c r="D649" s="19" t="str">
        <f>IFERROR(VLOOKUP(C649, 'Project Master'!A:B, 2, FALSE), "")</f>
        <v/>
      </c>
      <c r="F649" s="10" t="str">
        <f t="shared" si="1"/>
        <v/>
      </c>
    </row>
    <row r="650">
      <c r="A650" s="22"/>
      <c r="C650" s="10"/>
      <c r="D650" s="19" t="str">
        <f>IFERROR(VLOOKUP(C650, 'Project Master'!A:B, 2, FALSE), "")</f>
        <v/>
      </c>
      <c r="F650" s="10" t="str">
        <f t="shared" si="1"/>
        <v/>
      </c>
    </row>
    <row r="651">
      <c r="A651" s="22"/>
      <c r="C651" s="10"/>
      <c r="D651" s="19" t="str">
        <f>IFERROR(VLOOKUP(C651, 'Project Master'!A:B, 2, FALSE), "")</f>
        <v/>
      </c>
      <c r="F651" s="10" t="str">
        <f t="shared" si="1"/>
        <v/>
      </c>
    </row>
    <row r="652">
      <c r="A652" s="22"/>
      <c r="C652" s="10"/>
      <c r="D652" s="19" t="str">
        <f>IFERROR(VLOOKUP(C652, 'Project Master'!A:B, 2, FALSE), "")</f>
        <v/>
      </c>
      <c r="F652" s="10" t="str">
        <f t="shared" si="1"/>
        <v/>
      </c>
    </row>
    <row r="653">
      <c r="A653" s="22"/>
      <c r="C653" s="10"/>
      <c r="D653" s="19" t="str">
        <f>IFERROR(VLOOKUP(C653, 'Project Master'!A:B, 2, FALSE), "")</f>
        <v/>
      </c>
      <c r="F653" s="10" t="str">
        <f t="shared" si="1"/>
        <v/>
      </c>
    </row>
    <row r="654">
      <c r="A654" s="22"/>
      <c r="C654" s="10"/>
      <c r="D654" s="19" t="str">
        <f>IFERROR(VLOOKUP(C654, 'Project Master'!A:B, 2, FALSE), "")</f>
        <v/>
      </c>
      <c r="F654" s="10" t="str">
        <f t="shared" si="1"/>
        <v/>
      </c>
    </row>
    <row r="655">
      <c r="A655" s="22"/>
      <c r="C655" s="10"/>
      <c r="D655" s="19" t="str">
        <f>IFERROR(VLOOKUP(C655, 'Project Master'!A:B, 2, FALSE), "")</f>
        <v/>
      </c>
      <c r="F655" s="10" t="str">
        <f t="shared" si="1"/>
        <v/>
      </c>
    </row>
    <row r="656">
      <c r="A656" s="22"/>
      <c r="C656" s="10"/>
      <c r="D656" s="19" t="str">
        <f>IFERROR(VLOOKUP(C656, 'Project Master'!A:B, 2, FALSE), "")</f>
        <v/>
      </c>
      <c r="F656" s="10" t="str">
        <f t="shared" si="1"/>
        <v/>
      </c>
    </row>
    <row r="657">
      <c r="A657" s="22"/>
      <c r="C657" s="10"/>
      <c r="D657" s="19" t="str">
        <f>IFERROR(VLOOKUP(C657, 'Project Master'!A:B, 2, FALSE), "")</f>
        <v/>
      </c>
      <c r="F657" s="10" t="str">
        <f t="shared" si="1"/>
        <v/>
      </c>
    </row>
    <row r="658">
      <c r="A658" s="22"/>
      <c r="C658" s="10"/>
      <c r="D658" s="19" t="str">
        <f>IFERROR(VLOOKUP(C658, 'Project Master'!A:B, 2, FALSE), "")</f>
        <v/>
      </c>
      <c r="F658" s="10" t="str">
        <f t="shared" si="1"/>
        <v/>
      </c>
    </row>
    <row r="659">
      <c r="A659" s="22"/>
      <c r="C659" s="10"/>
      <c r="D659" s="19" t="str">
        <f>IFERROR(VLOOKUP(C659, 'Project Master'!A:B, 2, FALSE), "")</f>
        <v/>
      </c>
      <c r="F659" s="10" t="str">
        <f t="shared" si="1"/>
        <v/>
      </c>
    </row>
    <row r="660">
      <c r="A660" s="22"/>
      <c r="C660" s="10"/>
      <c r="D660" s="19" t="str">
        <f>IFERROR(VLOOKUP(C660, 'Project Master'!A:B, 2, FALSE), "")</f>
        <v/>
      </c>
      <c r="F660" s="10" t="str">
        <f t="shared" si="1"/>
        <v/>
      </c>
    </row>
    <row r="661">
      <c r="A661" s="22"/>
      <c r="C661" s="10"/>
      <c r="D661" s="19" t="str">
        <f>IFERROR(VLOOKUP(C661, 'Project Master'!A:B, 2, FALSE), "")</f>
        <v/>
      </c>
      <c r="F661" s="10" t="str">
        <f t="shared" si="1"/>
        <v/>
      </c>
    </row>
    <row r="662">
      <c r="A662" s="22"/>
      <c r="C662" s="10"/>
      <c r="D662" s="19" t="str">
        <f>IFERROR(VLOOKUP(C662, 'Project Master'!A:B, 2, FALSE), "")</f>
        <v/>
      </c>
      <c r="F662" s="10" t="str">
        <f t="shared" si="1"/>
        <v/>
      </c>
    </row>
    <row r="663">
      <c r="A663" s="22"/>
      <c r="C663" s="10"/>
      <c r="D663" s="19" t="str">
        <f>IFERROR(VLOOKUP(C663, 'Project Master'!A:B, 2, FALSE), "")</f>
        <v/>
      </c>
      <c r="F663" s="10" t="str">
        <f t="shared" si="1"/>
        <v/>
      </c>
    </row>
    <row r="664">
      <c r="A664" s="22"/>
      <c r="C664" s="10"/>
      <c r="D664" s="19" t="str">
        <f>IFERROR(VLOOKUP(C664, 'Project Master'!A:B, 2, FALSE), "")</f>
        <v/>
      </c>
      <c r="F664" s="10" t="str">
        <f t="shared" si="1"/>
        <v/>
      </c>
    </row>
    <row r="665">
      <c r="A665" s="22"/>
      <c r="C665" s="10"/>
      <c r="D665" s="19" t="str">
        <f>IFERROR(VLOOKUP(C665, 'Project Master'!A:B, 2, FALSE), "")</f>
        <v/>
      </c>
      <c r="F665" s="10" t="str">
        <f t="shared" si="1"/>
        <v/>
      </c>
    </row>
    <row r="666">
      <c r="A666" s="22"/>
      <c r="C666" s="10"/>
      <c r="D666" s="19" t="str">
        <f>IFERROR(VLOOKUP(C666, 'Project Master'!A:B, 2, FALSE), "")</f>
        <v/>
      </c>
      <c r="F666" s="10" t="str">
        <f t="shared" si="1"/>
        <v/>
      </c>
    </row>
    <row r="667">
      <c r="A667" s="22"/>
      <c r="C667" s="10"/>
      <c r="D667" s="19" t="str">
        <f>IFERROR(VLOOKUP(C667, 'Project Master'!A:B, 2, FALSE), "")</f>
        <v/>
      </c>
      <c r="F667" s="10" t="str">
        <f t="shared" si="1"/>
        <v/>
      </c>
    </row>
    <row r="668">
      <c r="A668" s="22"/>
      <c r="C668" s="10"/>
      <c r="D668" s="19" t="str">
        <f>IFERROR(VLOOKUP(C668, 'Project Master'!A:B, 2, FALSE), "")</f>
        <v/>
      </c>
      <c r="F668" s="10" t="str">
        <f t="shared" si="1"/>
        <v/>
      </c>
    </row>
    <row r="669">
      <c r="A669" s="22"/>
      <c r="C669" s="10"/>
      <c r="D669" s="19" t="str">
        <f>IFERROR(VLOOKUP(C669, 'Project Master'!A:B, 2, FALSE), "")</f>
        <v/>
      </c>
      <c r="F669" s="10" t="str">
        <f t="shared" si="1"/>
        <v/>
      </c>
    </row>
    <row r="670">
      <c r="A670" s="22"/>
      <c r="C670" s="10"/>
      <c r="D670" s="19" t="str">
        <f>IFERROR(VLOOKUP(C670, 'Project Master'!A:B, 2, FALSE), "")</f>
        <v/>
      </c>
      <c r="F670" s="10" t="str">
        <f t="shared" si="1"/>
        <v/>
      </c>
    </row>
    <row r="671">
      <c r="A671" s="22"/>
      <c r="C671" s="10"/>
      <c r="D671" s="19" t="str">
        <f>IFERROR(VLOOKUP(C671, 'Project Master'!A:B, 2, FALSE), "")</f>
        <v/>
      </c>
      <c r="F671" s="10" t="str">
        <f t="shared" si="1"/>
        <v/>
      </c>
    </row>
    <row r="672">
      <c r="A672" s="22"/>
      <c r="C672" s="10"/>
      <c r="D672" s="19" t="str">
        <f>IFERROR(VLOOKUP(C672, 'Project Master'!A:B, 2, FALSE), "")</f>
        <v/>
      </c>
      <c r="F672" s="10" t="str">
        <f t="shared" si="1"/>
        <v/>
      </c>
    </row>
    <row r="673">
      <c r="A673" s="22"/>
      <c r="C673" s="10"/>
      <c r="D673" s="19" t="str">
        <f>IFERROR(VLOOKUP(C673, 'Project Master'!A:B, 2, FALSE), "")</f>
        <v/>
      </c>
      <c r="F673" s="10" t="str">
        <f t="shared" si="1"/>
        <v/>
      </c>
    </row>
    <row r="674">
      <c r="A674" s="22"/>
      <c r="C674" s="10"/>
      <c r="D674" s="19" t="str">
        <f>IFERROR(VLOOKUP(C674, 'Project Master'!A:B, 2, FALSE), "")</f>
        <v/>
      </c>
      <c r="F674" s="10" t="str">
        <f t="shared" si="1"/>
        <v/>
      </c>
    </row>
    <row r="675">
      <c r="A675" s="22"/>
      <c r="C675" s="10"/>
      <c r="D675" s="19" t="str">
        <f>IFERROR(VLOOKUP(C675, 'Project Master'!A:B, 2, FALSE), "")</f>
        <v/>
      </c>
      <c r="F675" s="10" t="str">
        <f t="shared" si="1"/>
        <v/>
      </c>
    </row>
    <row r="676">
      <c r="A676" s="22"/>
      <c r="C676" s="10"/>
      <c r="D676" s="19" t="str">
        <f>IFERROR(VLOOKUP(C676, 'Project Master'!A:B, 2, FALSE), "")</f>
        <v/>
      </c>
      <c r="F676" s="10" t="str">
        <f t="shared" si="1"/>
        <v/>
      </c>
    </row>
    <row r="677">
      <c r="A677" s="22"/>
      <c r="C677" s="10"/>
      <c r="D677" s="19" t="str">
        <f>IFERROR(VLOOKUP(C677, 'Project Master'!A:B, 2, FALSE), "")</f>
        <v/>
      </c>
      <c r="F677" s="10" t="str">
        <f t="shared" si="1"/>
        <v/>
      </c>
    </row>
    <row r="678">
      <c r="A678" s="22"/>
      <c r="C678" s="10"/>
      <c r="D678" s="19" t="str">
        <f>IFERROR(VLOOKUP(C678, 'Project Master'!A:B, 2, FALSE), "")</f>
        <v/>
      </c>
      <c r="F678" s="10" t="str">
        <f t="shared" si="1"/>
        <v/>
      </c>
    </row>
    <row r="679">
      <c r="A679" s="22"/>
      <c r="C679" s="10"/>
      <c r="D679" s="19" t="str">
        <f>IFERROR(VLOOKUP(C679, 'Project Master'!A:B, 2, FALSE), "")</f>
        <v/>
      </c>
      <c r="F679" s="10" t="str">
        <f t="shared" si="1"/>
        <v/>
      </c>
    </row>
    <row r="680">
      <c r="A680" s="22"/>
      <c r="C680" s="10"/>
      <c r="D680" s="19" t="str">
        <f>IFERROR(VLOOKUP(C680, 'Project Master'!A:B, 2, FALSE), "")</f>
        <v/>
      </c>
      <c r="F680" s="10" t="str">
        <f t="shared" si="1"/>
        <v/>
      </c>
    </row>
    <row r="681">
      <c r="A681" s="22"/>
      <c r="C681" s="10"/>
      <c r="D681" s="19" t="str">
        <f>IFERROR(VLOOKUP(C681, 'Project Master'!A:B, 2, FALSE), "")</f>
        <v/>
      </c>
      <c r="F681" s="10" t="str">
        <f t="shared" si="1"/>
        <v/>
      </c>
    </row>
    <row r="682">
      <c r="A682" s="22"/>
      <c r="C682" s="10"/>
      <c r="D682" s="19" t="str">
        <f>IFERROR(VLOOKUP(C682, 'Project Master'!A:B, 2, FALSE), "")</f>
        <v/>
      </c>
      <c r="F682" s="10" t="str">
        <f t="shared" si="1"/>
        <v/>
      </c>
    </row>
    <row r="683">
      <c r="A683" s="22"/>
      <c r="C683" s="10"/>
      <c r="D683" s="19" t="str">
        <f>IFERROR(VLOOKUP(C683, 'Project Master'!A:B, 2, FALSE), "")</f>
        <v/>
      </c>
      <c r="F683" s="10" t="str">
        <f t="shared" si="1"/>
        <v/>
      </c>
    </row>
    <row r="684">
      <c r="A684" s="22"/>
      <c r="C684" s="10"/>
      <c r="D684" s="19" t="str">
        <f>IFERROR(VLOOKUP(C684, 'Project Master'!A:B, 2, FALSE), "")</f>
        <v/>
      </c>
      <c r="F684" s="10" t="str">
        <f t="shared" si="1"/>
        <v/>
      </c>
    </row>
    <row r="685">
      <c r="A685" s="22"/>
      <c r="C685" s="10"/>
      <c r="D685" s="19" t="str">
        <f>IFERROR(VLOOKUP(C685, 'Project Master'!A:B, 2, FALSE), "")</f>
        <v/>
      </c>
      <c r="F685" s="10" t="str">
        <f t="shared" si="1"/>
        <v/>
      </c>
    </row>
    <row r="686">
      <c r="A686" s="22"/>
      <c r="C686" s="10"/>
      <c r="D686" s="19" t="str">
        <f>IFERROR(VLOOKUP(C686, 'Project Master'!A:B, 2, FALSE), "")</f>
        <v/>
      </c>
      <c r="F686" s="10" t="str">
        <f t="shared" si="1"/>
        <v/>
      </c>
    </row>
    <row r="687">
      <c r="A687" s="22"/>
      <c r="C687" s="10"/>
      <c r="D687" s="19" t="str">
        <f>IFERROR(VLOOKUP(C687, 'Project Master'!A:B, 2, FALSE), "")</f>
        <v/>
      </c>
      <c r="F687" s="10" t="str">
        <f t="shared" si="1"/>
        <v/>
      </c>
    </row>
    <row r="688">
      <c r="A688" s="22"/>
      <c r="C688" s="10"/>
      <c r="D688" s="19" t="str">
        <f>IFERROR(VLOOKUP(C688, 'Project Master'!A:B, 2, FALSE), "")</f>
        <v/>
      </c>
      <c r="F688" s="10" t="str">
        <f t="shared" si="1"/>
        <v/>
      </c>
    </row>
    <row r="689">
      <c r="A689" s="22"/>
      <c r="C689" s="10"/>
      <c r="D689" s="19" t="str">
        <f>IFERROR(VLOOKUP(C689, 'Project Master'!A:B, 2, FALSE), "")</f>
        <v/>
      </c>
      <c r="F689" s="10" t="str">
        <f t="shared" si="1"/>
        <v/>
      </c>
    </row>
    <row r="690">
      <c r="A690" s="22"/>
      <c r="C690" s="10"/>
      <c r="D690" s="19" t="str">
        <f>IFERROR(VLOOKUP(C690, 'Project Master'!A:B, 2, FALSE), "")</f>
        <v/>
      </c>
      <c r="F690" s="10" t="str">
        <f t="shared" si="1"/>
        <v/>
      </c>
    </row>
    <row r="691">
      <c r="A691" s="22"/>
      <c r="C691" s="10"/>
      <c r="D691" s="19" t="str">
        <f>IFERROR(VLOOKUP(C691, 'Project Master'!A:B, 2, FALSE), "")</f>
        <v/>
      </c>
      <c r="F691" s="10" t="str">
        <f t="shared" si="1"/>
        <v/>
      </c>
    </row>
    <row r="692">
      <c r="A692" s="22"/>
      <c r="C692" s="10"/>
      <c r="D692" s="19" t="str">
        <f>IFERROR(VLOOKUP(C692, 'Project Master'!A:B, 2, FALSE), "")</f>
        <v/>
      </c>
      <c r="F692" s="10" t="str">
        <f t="shared" si="1"/>
        <v/>
      </c>
    </row>
    <row r="693">
      <c r="A693" s="22"/>
      <c r="C693" s="10"/>
      <c r="D693" s="19" t="str">
        <f>IFERROR(VLOOKUP(C693, 'Project Master'!A:B, 2, FALSE), "")</f>
        <v/>
      </c>
      <c r="F693" s="10" t="str">
        <f t="shared" si="1"/>
        <v/>
      </c>
    </row>
    <row r="694">
      <c r="A694" s="22"/>
      <c r="C694" s="10"/>
      <c r="D694" s="19" t="str">
        <f>IFERROR(VLOOKUP(C694, 'Project Master'!A:B, 2, FALSE), "")</f>
        <v/>
      </c>
      <c r="F694" s="10" t="str">
        <f t="shared" si="1"/>
        <v/>
      </c>
    </row>
    <row r="695">
      <c r="A695" s="22"/>
      <c r="C695" s="10"/>
      <c r="D695" s="19" t="str">
        <f>IFERROR(VLOOKUP(C695, 'Project Master'!A:B, 2, FALSE), "")</f>
        <v/>
      </c>
      <c r="F695" s="10" t="str">
        <f t="shared" si="1"/>
        <v/>
      </c>
    </row>
    <row r="696">
      <c r="A696" s="22"/>
      <c r="C696" s="10"/>
      <c r="D696" s="19" t="str">
        <f>IFERROR(VLOOKUP(C696, 'Project Master'!A:B, 2, FALSE), "")</f>
        <v/>
      </c>
      <c r="F696" s="10" t="str">
        <f t="shared" si="1"/>
        <v/>
      </c>
    </row>
    <row r="697">
      <c r="A697" s="22"/>
      <c r="C697" s="10"/>
      <c r="D697" s="19" t="str">
        <f>IFERROR(VLOOKUP(C697, 'Project Master'!A:B, 2, FALSE), "")</f>
        <v/>
      </c>
      <c r="F697" s="10" t="str">
        <f t="shared" si="1"/>
        <v/>
      </c>
    </row>
    <row r="698">
      <c r="A698" s="22"/>
      <c r="C698" s="10"/>
      <c r="D698" s="19" t="str">
        <f>IFERROR(VLOOKUP(C698, 'Project Master'!A:B, 2, FALSE), "")</f>
        <v/>
      </c>
      <c r="F698" s="10" t="str">
        <f t="shared" si="1"/>
        <v/>
      </c>
    </row>
    <row r="699">
      <c r="A699" s="22"/>
      <c r="C699" s="10"/>
      <c r="D699" s="19" t="str">
        <f>IFERROR(VLOOKUP(C699, 'Project Master'!A:B, 2, FALSE), "")</f>
        <v/>
      </c>
      <c r="F699" s="10" t="str">
        <f t="shared" si="1"/>
        <v/>
      </c>
    </row>
    <row r="700">
      <c r="A700" s="22"/>
      <c r="C700" s="10"/>
      <c r="D700" s="19" t="str">
        <f>IFERROR(VLOOKUP(C700, 'Project Master'!A:B, 2, FALSE), "")</f>
        <v/>
      </c>
      <c r="F700" s="10" t="str">
        <f t="shared" si="1"/>
        <v/>
      </c>
    </row>
    <row r="701">
      <c r="A701" s="22"/>
      <c r="C701" s="10"/>
      <c r="D701" s="19" t="str">
        <f>IFERROR(VLOOKUP(C701, 'Project Master'!A:B, 2, FALSE), "")</f>
        <v/>
      </c>
      <c r="F701" s="10" t="str">
        <f t="shared" si="1"/>
        <v/>
      </c>
    </row>
    <row r="702">
      <c r="A702" s="22"/>
      <c r="C702" s="10"/>
      <c r="D702" s="19" t="str">
        <f>IFERROR(VLOOKUP(C702, 'Project Master'!A:B, 2, FALSE), "")</f>
        <v/>
      </c>
      <c r="F702" s="10" t="str">
        <f t="shared" si="1"/>
        <v/>
      </c>
    </row>
    <row r="703">
      <c r="A703" s="22"/>
      <c r="C703" s="10"/>
      <c r="D703" s="19" t="str">
        <f>IFERROR(VLOOKUP(C703, 'Project Master'!A:B, 2, FALSE), "")</f>
        <v/>
      </c>
      <c r="F703" s="10" t="str">
        <f t="shared" si="1"/>
        <v/>
      </c>
    </row>
    <row r="704">
      <c r="A704" s="22"/>
      <c r="C704" s="10"/>
      <c r="D704" s="19" t="str">
        <f>IFERROR(VLOOKUP(C704, 'Project Master'!A:B, 2, FALSE), "")</f>
        <v/>
      </c>
      <c r="F704" s="10" t="str">
        <f t="shared" si="1"/>
        <v/>
      </c>
    </row>
    <row r="705">
      <c r="A705" s="22"/>
      <c r="C705" s="10"/>
      <c r="D705" s="19" t="str">
        <f>IFERROR(VLOOKUP(C705, 'Project Master'!A:B, 2, FALSE), "")</f>
        <v/>
      </c>
      <c r="F705" s="10" t="str">
        <f t="shared" si="1"/>
        <v/>
      </c>
    </row>
    <row r="706">
      <c r="A706" s="22"/>
      <c r="C706" s="10"/>
      <c r="D706" s="19" t="str">
        <f>IFERROR(VLOOKUP(C706, 'Project Master'!A:B, 2, FALSE), "")</f>
        <v/>
      </c>
      <c r="F706" s="10" t="str">
        <f t="shared" si="1"/>
        <v/>
      </c>
    </row>
    <row r="707">
      <c r="A707" s="22"/>
      <c r="C707" s="10"/>
      <c r="D707" s="19" t="str">
        <f>IFERROR(VLOOKUP(C707, 'Project Master'!A:B, 2, FALSE), "")</f>
        <v/>
      </c>
      <c r="F707" s="10" t="str">
        <f t="shared" si="1"/>
        <v/>
      </c>
    </row>
    <row r="708">
      <c r="A708" s="22"/>
      <c r="C708" s="10"/>
      <c r="D708" s="19" t="str">
        <f>IFERROR(VLOOKUP(C708, 'Project Master'!A:B, 2, FALSE), "")</f>
        <v/>
      </c>
      <c r="F708" s="10" t="str">
        <f t="shared" si="1"/>
        <v/>
      </c>
    </row>
    <row r="709">
      <c r="A709" s="22"/>
      <c r="C709" s="10"/>
      <c r="D709" s="19" t="str">
        <f>IFERROR(VLOOKUP(C709, 'Project Master'!A:B, 2, FALSE), "")</f>
        <v/>
      </c>
      <c r="F709" s="10" t="str">
        <f t="shared" si="1"/>
        <v/>
      </c>
    </row>
    <row r="710">
      <c r="A710" s="22"/>
      <c r="C710" s="10"/>
      <c r="D710" s="19" t="str">
        <f>IFERROR(VLOOKUP(C710, 'Project Master'!A:B, 2, FALSE), "")</f>
        <v/>
      </c>
      <c r="F710" s="10" t="str">
        <f t="shared" si="1"/>
        <v/>
      </c>
    </row>
    <row r="711">
      <c r="A711" s="22"/>
      <c r="C711" s="10"/>
      <c r="D711" s="19" t="str">
        <f>IFERROR(VLOOKUP(C711, 'Project Master'!A:B, 2, FALSE), "")</f>
        <v/>
      </c>
      <c r="F711" s="10" t="str">
        <f t="shared" si="1"/>
        <v/>
      </c>
    </row>
    <row r="712">
      <c r="A712" s="22"/>
      <c r="C712" s="10"/>
      <c r="D712" s="19" t="str">
        <f>IFERROR(VLOOKUP(C712, 'Project Master'!A:B, 2, FALSE), "")</f>
        <v/>
      </c>
      <c r="F712" s="10" t="str">
        <f t="shared" si="1"/>
        <v/>
      </c>
    </row>
    <row r="713">
      <c r="A713" s="22"/>
      <c r="C713" s="10"/>
      <c r="D713" s="19" t="str">
        <f>IFERROR(VLOOKUP(C713, 'Project Master'!A:B, 2, FALSE), "")</f>
        <v/>
      </c>
      <c r="F713" s="10" t="str">
        <f t="shared" si="1"/>
        <v/>
      </c>
    </row>
    <row r="714">
      <c r="A714" s="22"/>
      <c r="C714" s="10"/>
      <c r="D714" s="19" t="str">
        <f>IFERROR(VLOOKUP(C714, 'Project Master'!A:B, 2, FALSE), "")</f>
        <v/>
      </c>
      <c r="F714" s="10" t="str">
        <f t="shared" si="1"/>
        <v/>
      </c>
    </row>
    <row r="715">
      <c r="A715" s="22"/>
      <c r="C715" s="10"/>
      <c r="D715" s="19" t="str">
        <f>IFERROR(VLOOKUP(C715, 'Project Master'!A:B, 2, FALSE), "")</f>
        <v/>
      </c>
      <c r="F715" s="10" t="str">
        <f t="shared" si="1"/>
        <v/>
      </c>
    </row>
    <row r="716">
      <c r="A716" s="22"/>
      <c r="C716" s="10"/>
      <c r="D716" s="19" t="str">
        <f>IFERROR(VLOOKUP(C716, 'Project Master'!A:B, 2, FALSE), "")</f>
        <v/>
      </c>
      <c r="F716" s="10" t="str">
        <f t="shared" si="1"/>
        <v/>
      </c>
    </row>
    <row r="717">
      <c r="A717" s="22"/>
      <c r="C717" s="10"/>
      <c r="D717" s="19" t="str">
        <f>IFERROR(VLOOKUP(C717, 'Project Master'!A:B, 2, FALSE), "")</f>
        <v/>
      </c>
      <c r="F717" s="10" t="str">
        <f t="shared" si="1"/>
        <v/>
      </c>
    </row>
    <row r="718">
      <c r="A718" s="22"/>
      <c r="C718" s="10"/>
      <c r="D718" s="19" t="str">
        <f>IFERROR(VLOOKUP(C718, 'Project Master'!A:B, 2, FALSE), "")</f>
        <v/>
      </c>
      <c r="F718" s="10" t="str">
        <f t="shared" si="1"/>
        <v/>
      </c>
    </row>
    <row r="719">
      <c r="A719" s="22"/>
      <c r="C719" s="10"/>
      <c r="D719" s="19" t="str">
        <f>IFERROR(VLOOKUP(C719, 'Project Master'!A:B, 2, FALSE), "")</f>
        <v/>
      </c>
      <c r="F719" s="10" t="str">
        <f t="shared" si="1"/>
        <v/>
      </c>
    </row>
    <row r="720">
      <c r="A720" s="22"/>
      <c r="C720" s="10"/>
      <c r="D720" s="19" t="str">
        <f>IFERROR(VLOOKUP(C720, 'Project Master'!A:B, 2, FALSE), "")</f>
        <v/>
      </c>
      <c r="F720" s="10" t="str">
        <f t="shared" si="1"/>
        <v/>
      </c>
    </row>
    <row r="721">
      <c r="A721" s="22"/>
      <c r="C721" s="10"/>
      <c r="D721" s="19" t="str">
        <f>IFERROR(VLOOKUP(C721, 'Project Master'!A:B, 2, FALSE), "")</f>
        <v/>
      </c>
      <c r="F721" s="10" t="str">
        <f t="shared" si="1"/>
        <v/>
      </c>
    </row>
    <row r="722">
      <c r="A722" s="22"/>
      <c r="C722" s="10"/>
      <c r="D722" s="19" t="str">
        <f>IFERROR(VLOOKUP(C722, 'Project Master'!A:B, 2, FALSE), "")</f>
        <v/>
      </c>
      <c r="F722" s="10" t="str">
        <f t="shared" si="1"/>
        <v/>
      </c>
    </row>
    <row r="723">
      <c r="A723" s="22"/>
      <c r="C723" s="10"/>
      <c r="D723" s="19" t="str">
        <f>IFERROR(VLOOKUP(C723, 'Project Master'!A:B, 2, FALSE), "")</f>
        <v/>
      </c>
      <c r="F723" s="10" t="str">
        <f t="shared" si="1"/>
        <v/>
      </c>
    </row>
    <row r="724">
      <c r="A724" s="22"/>
      <c r="C724" s="10"/>
      <c r="D724" s="19" t="str">
        <f>IFERROR(VLOOKUP(C724, 'Project Master'!A:B, 2, FALSE), "")</f>
        <v/>
      </c>
      <c r="F724" s="10" t="str">
        <f t="shared" si="1"/>
        <v/>
      </c>
    </row>
    <row r="725">
      <c r="A725" s="22"/>
      <c r="C725" s="10"/>
      <c r="D725" s="19" t="str">
        <f>IFERROR(VLOOKUP(C725, 'Project Master'!A:B, 2, FALSE), "")</f>
        <v/>
      </c>
      <c r="F725" s="10" t="str">
        <f t="shared" si="1"/>
        <v/>
      </c>
    </row>
    <row r="726">
      <c r="A726" s="22"/>
      <c r="C726" s="10"/>
      <c r="D726" s="19" t="str">
        <f>IFERROR(VLOOKUP(C726, 'Project Master'!A:B, 2, FALSE), "")</f>
        <v/>
      </c>
      <c r="F726" s="10" t="str">
        <f t="shared" si="1"/>
        <v/>
      </c>
    </row>
    <row r="727">
      <c r="A727" s="22"/>
      <c r="C727" s="10"/>
      <c r="D727" s="19" t="str">
        <f>IFERROR(VLOOKUP(C727, 'Project Master'!A:B, 2, FALSE), "")</f>
        <v/>
      </c>
      <c r="F727" s="10" t="str">
        <f t="shared" si="1"/>
        <v/>
      </c>
    </row>
    <row r="728">
      <c r="A728" s="22"/>
      <c r="C728" s="10"/>
      <c r="D728" s="19" t="str">
        <f>IFERROR(VLOOKUP(C728, 'Project Master'!A:B, 2, FALSE), "")</f>
        <v/>
      </c>
      <c r="F728" s="10" t="str">
        <f t="shared" si="1"/>
        <v/>
      </c>
    </row>
    <row r="729">
      <c r="A729" s="22"/>
      <c r="C729" s="10"/>
      <c r="D729" s="19" t="str">
        <f>IFERROR(VLOOKUP(C729, 'Project Master'!A:B, 2, FALSE), "")</f>
        <v/>
      </c>
      <c r="F729" s="10" t="str">
        <f t="shared" si="1"/>
        <v/>
      </c>
    </row>
    <row r="730">
      <c r="A730" s="22"/>
      <c r="C730" s="10"/>
      <c r="D730" s="19" t="str">
        <f>IFERROR(VLOOKUP(C730, 'Project Master'!A:B, 2, FALSE), "")</f>
        <v/>
      </c>
      <c r="F730" s="10" t="str">
        <f t="shared" si="1"/>
        <v/>
      </c>
    </row>
    <row r="731">
      <c r="A731" s="22"/>
      <c r="C731" s="10"/>
      <c r="D731" s="19" t="str">
        <f>IFERROR(VLOOKUP(C731, 'Project Master'!A:B, 2, FALSE), "")</f>
        <v/>
      </c>
      <c r="F731" s="10" t="str">
        <f t="shared" si="1"/>
        <v/>
      </c>
    </row>
    <row r="732">
      <c r="A732" s="22"/>
      <c r="C732" s="10"/>
      <c r="D732" s="19" t="str">
        <f>IFERROR(VLOOKUP(C732, 'Project Master'!A:B, 2, FALSE), "")</f>
        <v/>
      </c>
      <c r="F732" s="10" t="str">
        <f t="shared" si="1"/>
        <v/>
      </c>
    </row>
    <row r="733">
      <c r="A733" s="22"/>
      <c r="C733" s="10"/>
      <c r="D733" s="19" t="str">
        <f>IFERROR(VLOOKUP(C733, 'Project Master'!A:B, 2, FALSE), "")</f>
        <v/>
      </c>
      <c r="F733" s="10" t="str">
        <f t="shared" si="1"/>
        <v/>
      </c>
    </row>
    <row r="734">
      <c r="A734" s="22"/>
      <c r="C734" s="10"/>
      <c r="D734" s="19" t="str">
        <f>IFERROR(VLOOKUP(C734, 'Project Master'!A:B, 2, FALSE), "")</f>
        <v/>
      </c>
      <c r="F734" s="10" t="str">
        <f t="shared" si="1"/>
        <v/>
      </c>
    </row>
    <row r="735">
      <c r="A735" s="22"/>
      <c r="C735" s="10"/>
      <c r="D735" s="19" t="str">
        <f>IFERROR(VLOOKUP(C735, 'Project Master'!A:B, 2, FALSE), "")</f>
        <v/>
      </c>
      <c r="F735" s="10" t="str">
        <f t="shared" si="1"/>
        <v/>
      </c>
    </row>
    <row r="736">
      <c r="A736" s="22"/>
      <c r="C736" s="10"/>
      <c r="D736" s="19" t="str">
        <f>IFERROR(VLOOKUP(C736, 'Project Master'!A:B, 2, FALSE), "")</f>
        <v/>
      </c>
      <c r="F736" s="10" t="str">
        <f t="shared" si="1"/>
        <v/>
      </c>
    </row>
    <row r="737">
      <c r="A737" s="22"/>
      <c r="C737" s="10"/>
      <c r="D737" s="19" t="str">
        <f>IFERROR(VLOOKUP(C737, 'Project Master'!A:B, 2, FALSE), "")</f>
        <v/>
      </c>
      <c r="F737" s="10" t="str">
        <f t="shared" si="1"/>
        <v/>
      </c>
    </row>
    <row r="738">
      <c r="A738" s="22"/>
      <c r="C738" s="10"/>
      <c r="D738" s="19" t="str">
        <f>IFERROR(VLOOKUP(C738, 'Project Master'!A:B, 2, FALSE), "")</f>
        <v/>
      </c>
      <c r="F738" s="10" t="str">
        <f t="shared" si="1"/>
        <v/>
      </c>
    </row>
    <row r="739">
      <c r="A739" s="22"/>
      <c r="C739" s="10"/>
      <c r="D739" s="19" t="str">
        <f>IFERROR(VLOOKUP(C739, 'Project Master'!A:B, 2, FALSE), "")</f>
        <v/>
      </c>
      <c r="F739" s="10" t="str">
        <f t="shared" si="1"/>
        <v/>
      </c>
    </row>
    <row r="740">
      <c r="A740" s="22"/>
      <c r="C740" s="10"/>
      <c r="D740" s="19" t="str">
        <f>IFERROR(VLOOKUP(C740, 'Project Master'!A:B, 2, FALSE), "")</f>
        <v/>
      </c>
      <c r="F740" s="10" t="str">
        <f t="shared" si="1"/>
        <v/>
      </c>
    </row>
    <row r="741">
      <c r="A741" s="22"/>
      <c r="C741" s="10"/>
      <c r="D741" s="19" t="str">
        <f>IFERROR(VLOOKUP(C741, 'Project Master'!A:B, 2, FALSE), "")</f>
        <v/>
      </c>
      <c r="F741" s="10" t="str">
        <f t="shared" si="1"/>
        <v/>
      </c>
    </row>
    <row r="742">
      <c r="A742" s="22"/>
      <c r="C742" s="10"/>
      <c r="D742" s="19" t="str">
        <f>IFERROR(VLOOKUP(C742, 'Project Master'!A:B, 2, FALSE), "")</f>
        <v/>
      </c>
      <c r="F742" s="10" t="str">
        <f t="shared" si="1"/>
        <v/>
      </c>
    </row>
    <row r="743">
      <c r="A743" s="22"/>
      <c r="C743" s="10"/>
      <c r="D743" s="19" t="str">
        <f>IFERROR(VLOOKUP(C743, 'Project Master'!A:B, 2, FALSE), "")</f>
        <v/>
      </c>
      <c r="F743" s="10" t="str">
        <f t="shared" si="1"/>
        <v/>
      </c>
    </row>
    <row r="744">
      <c r="A744" s="22"/>
      <c r="C744" s="10"/>
      <c r="D744" s="19" t="str">
        <f>IFERROR(VLOOKUP(C744, 'Project Master'!A:B, 2, FALSE), "")</f>
        <v/>
      </c>
      <c r="F744" s="10" t="str">
        <f t="shared" si="1"/>
        <v/>
      </c>
    </row>
    <row r="745">
      <c r="A745" s="22"/>
      <c r="C745" s="10"/>
      <c r="D745" s="19" t="str">
        <f>IFERROR(VLOOKUP(C745, 'Project Master'!A:B, 2, FALSE), "")</f>
        <v/>
      </c>
      <c r="F745" s="10" t="str">
        <f t="shared" si="1"/>
        <v/>
      </c>
    </row>
    <row r="746">
      <c r="A746" s="22"/>
      <c r="C746" s="10"/>
      <c r="D746" s="19" t="str">
        <f>IFERROR(VLOOKUP(C746, 'Project Master'!A:B, 2, FALSE), "")</f>
        <v/>
      </c>
      <c r="F746" s="10" t="str">
        <f t="shared" si="1"/>
        <v/>
      </c>
    </row>
    <row r="747">
      <c r="A747" s="22"/>
      <c r="C747" s="10"/>
      <c r="D747" s="19" t="str">
        <f>IFERROR(VLOOKUP(C747, 'Project Master'!A:B, 2, FALSE), "")</f>
        <v/>
      </c>
      <c r="F747" s="10" t="str">
        <f t="shared" si="1"/>
        <v/>
      </c>
    </row>
    <row r="748">
      <c r="A748" s="22"/>
      <c r="C748" s="10"/>
      <c r="D748" s="19" t="str">
        <f>IFERROR(VLOOKUP(C748, 'Project Master'!A:B, 2, FALSE), "")</f>
        <v/>
      </c>
      <c r="F748" s="10" t="str">
        <f t="shared" si="1"/>
        <v/>
      </c>
    </row>
    <row r="749">
      <c r="A749" s="22"/>
      <c r="C749" s="10"/>
      <c r="D749" s="19" t="str">
        <f>IFERROR(VLOOKUP(C749, 'Project Master'!A:B, 2, FALSE), "")</f>
        <v/>
      </c>
      <c r="F749" s="10" t="str">
        <f t="shared" si="1"/>
        <v/>
      </c>
    </row>
    <row r="750">
      <c r="A750" s="22"/>
      <c r="C750" s="10"/>
      <c r="D750" s="19" t="str">
        <f>IFERROR(VLOOKUP(C750, 'Project Master'!A:B, 2, FALSE), "")</f>
        <v/>
      </c>
      <c r="F750" s="10" t="str">
        <f t="shared" si="1"/>
        <v/>
      </c>
    </row>
    <row r="751">
      <c r="A751" s="22"/>
      <c r="C751" s="10"/>
      <c r="D751" s="19" t="str">
        <f>IFERROR(VLOOKUP(C751, 'Project Master'!A:B, 2, FALSE), "")</f>
        <v/>
      </c>
      <c r="F751" s="10" t="str">
        <f t="shared" si="1"/>
        <v/>
      </c>
    </row>
    <row r="752">
      <c r="A752" s="22"/>
      <c r="C752" s="10"/>
      <c r="D752" s="19" t="str">
        <f>IFERROR(VLOOKUP(C752, 'Project Master'!A:B, 2, FALSE), "")</f>
        <v/>
      </c>
      <c r="F752" s="10" t="str">
        <f t="shared" si="1"/>
        <v/>
      </c>
    </row>
    <row r="753">
      <c r="A753" s="22"/>
      <c r="C753" s="10"/>
      <c r="D753" s="19" t="str">
        <f>IFERROR(VLOOKUP(C753, 'Project Master'!A:B, 2, FALSE), "")</f>
        <v/>
      </c>
      <c r="F753" s="10" t="str">
        <f t="shared" si="1"/>
        <v/>
      </c>
    </row>
    <row r="754">
      <c r="A754" s="22"/>
      <c r="C754" s="10"/>
      <c r="D754" s="19" t="str">
        <f>IFERROR(VLOOKUP(C754, 'Project Master'!A:B, 2, FALSE), "")</f>
        <v/>
      </c>
      <c r="F754" s="10" t="str">
        <f t="shared" si="1"/>
        <v/>
      </c>
    </row>
    <row r="755">
      <c r="A755" s="22"/>
      <c r="C755" s="10"/>
      <c r="D755" s="19" t="str">
        <f>IFERROR(VLOOKUP(C755, 'Project Master'!A:B, 2, FALSE), "")</f>
        <v/>
      </c>
      <c r="F755" s="10" t="str">
        <f t="shared" si="1"/>
        <v/>
      </c>
    </row>
    <row r="756">
      <c r="A756" s="22"/>
      <c r="C756" s="10"/>
      <c r="D756" s="19" t="str">
        <f>IFERROR(VLOOKUP(C756, 'Project Master'!A:B, 2, FALSE), "")</f>
        <v/>
      </c>
      <c r="F756" s="10" t="str">
        <f t="shared" si="1"/>
        <v/>
      </c>
    </row>
    <row r="757">
      <c r="A757" s="22"/>
      <c r="C757" s="10"/>
      <c r="D757" s="19" t="str">
        <f>IFERROR(VLOOKUP(C757, 'Project Master'!A:B, 2, FALSE), "")</f>
        <v/>
      </c>
      <c r="F757" s="10" t="str">
        <f t="shared" si="1"/>
        <v/>
      </c>
    </row>
    <row r="758">
      <c r="A758" s="22"/>
      <c r="C758" s="10"/>
      <c r="D758" s="19" t="str">
        <f>IFERROR(VLOOKUP(C758, 'Project Master'!A:B, 2, FALSE), "")</f>
        <v/>
      </c>
      <c r="F758" s="10" t="str">
        <f t="shared" si="1"/>
        <v/>
      </c>
    </row>
    <row r="759">
      <c r="A759" s="22"/>
      <c r="C759" s="10"/>
      <c r="D759" s="19" t="str">
        <f>IFERROR(VLOOKUP(C759, 'Project Master'!A:B, 2, FALSE), "")</f>
        <v/>
      </c>
      <c r="F759" s="10" t="str">
        <f t="shared" si="1"/>
        <v/>
      </c>
    </row>
    <row r="760">
      <c r="A760" s="22"/>
      <c r="C760" s="10"/>
      <c r="D760" s="19" t="str">
        <f>IFERROR(VLOOKUP(C760, 'Project Master'!A:B, 2, FALSE), "")</f>
        <v/>
      </c>
      <c r="F760" s="10" t="str">
        <f t="shared" si="1"/>
        <v/>
      </c>
    </row>
    <row r="761">
      <c r="A761" s="22"/>
      <c r="C761" s="10"/>
      <c r="D761" s="19" t="str">
        <f>IFERROR(VLOOKUP(C761, 'Project Master'!A:B, 2, FALSE), "")</f>
        <v/>
      </c>
      <c r="F761" s="10" t="str">
        <f t="shared" si="1"/>
        <v/>
      </c>
    </row>
    <row r="762">
      <c r="A762" s="22"/>
      <c r="C762" s="10"/>
      <c r="D762" s="19" t="str">
        <f>IFERROR(VLOOKUP(C762, 'Project Master'!A:B, 2, FALSE), "")</f>
        <v/>
      </c>
      <c r="F762" s="10" t="str">
        <f t="shared" si="1"/>
        <v/>
      </c>
    </row>
    <row r="763">
      <c r="A763" s="22"/>
      <c r="C763" s="10"/>
      <c r="D763" s="19" t="str">
        <f>IFERROR(VLOOKUP(C763, 'Project Master'!A:B, 2, FALSE), "")</f>
        <v/>
      </c>
      <c r="F763" s="10" t="str">
        <f t="shared" si="1"/>
        <v/>
      </c>
    </row>
    <row r="764">
      <c r="A764" s="22"/>
      <c r="C764" s="10"/>
      <c r="D764" s="19" t="str">
        <f>IFERROR(VLOOKUP(C764, 'Project Master'!A:B, 2, FALSE), "")</f>
        <v/>
      </c>
      <c r="F764" s="10" t="str">
        <f t="shared" si="1"/>
        <v/>
      </c>
    </row>
    <row r="765">
      <c r="A765" s="22"/>
      <c r="C765" s="10"/>
      <c r="D765" s="19" t="str">
        <f>IFERROR(VLOOKUP(C765, 'Project Master'!A:B, 2, FALSE), "")</f>
        <v/>
      </c>
      <c r="F765" s="10" t="str">
        <f t="shared" si="1"/>
        <v/>
      </c>
    </row>
    <row r="766">
      <c r="A766" s="22"/>
      <c r="C766" s="10"/>
      <c r="D766" s="19" t="str">
        <f>IFERROR(VLOOKUP(C766, 'Project Master'!A:B, 2, FALSE), "")</f>
        <v/>
      </c>
      <c r="F766" s="10" t="str">
        <f t="shared" si="1"/>
        <v/>
      </c>
    </row>
    <row r="767">
      <c r="A767" s="22"/>
      <c r="C767" s="10"/>
      <c r="D767" s="19" t="str">
        <f>IFERROR(VLOOKUP(C767, 'Project Master'!A:B, 2, FALSE), "")</f>
        <v/>
      </c>
      <c r="F767" s="10" t="str">
        <f t="shared" si="1"/>
        <v/>
      </c>
    </row>
    <row r="768">
      <c r="A768" s="22"/>
      <c r="C768" s="10"/>
      <c r="D768" s="19" t="str">
        <f>IFERROR(VLOOKUP(C768, 'Project Master'!A:B, 2, FALSE), "")</f>
        <v/>
      </c>
      <c r="F768" s="10" t="str">
        <f t="shared" si="1"/>
        <v/>
      </c>
    </row>
    <row r="769">
      <c r="A769" s="22"/>
      <c r="C769" s="10"/>
      <c r="D769" s="19" t="str">
        <f>IFERROR(VLOOKUP(C769, 'Project Master'!A:B, 2, FALSE), "")</f>
        <v/>
      </c>
      <c r="F769" s="10" t="str">
        <f t="shared" si="1"/>
        <v/>
      </c>
    </row>
    <row r="770">
      <c r="A770" s="22"/>
      <c r="C770" s="10"/>
      <c r="D770" s="19" t="str">
        <f>IFERROR(VLOOKUP(C770, 'Project Master'!A:B, 2, FALSE), "")</f>
        <v/>
      </c>
      <c r="F770" s="10" t="str">
        <f t="shared" si="1"/>
        <v/>
      </c>
    </row>
    <row r="771">
      <c r="A771" s="22"/>
      <c r="C771" s="10"/>
      <c r="D771" s="19" t="str">
        <f>IFERROR(VLOOKUP(C771, 'Project Master'!A:B, 2, FALSE), "")</f>
        <v/>
      </c>
      <c r="F771" s="10" t="str">
        <f t="shared" si="1"/>
        <v/>
      </c>
    </row>
    <row r="772">
      <c r="A772" s="22"/>
      <c r="C772" s="10"/>
      <c r="D772" s="19" t="str">
        <f>IFERROR(VLOOKUP(C772, 'Project Master'!A:B, 2, FALSE), "")</f>
        <v/>
      </c>
      <c r="F772" s="10" t="str">
        <f t="shared" si="1"/>
        <v/>
      </c>
    </row>
    <row r="773">
      <c r="A773" s="22"/>
      <c r="C773" s="10"/>
      <c r="D773" s="19" t="str">
        <f>IFERROR(VLOOKUP(C773, 'Project Master'!A:B, 2, FALSE), "")</f>
        <v/>
      </c>
      <c r="F773" s="10" t="str">
        <f t="shared" si="1"/>
        <v/>
      </c>
    </row>
    <row r="774">
      <c r="A774" s="22"/>
      <c r="C774" s="10"/>
      <c r="D774" s="19" t="str">
        <f>IFERROR(VLOOKUP(C774, 'Project Master'!A:B, 2, FALSE), "")</f>
        <v/>
      </c>
      <c r="F774" s="10" t="str">
        <f t="shared" si="1"/>
        <v/>
      </c>
    </row>
    <row r="775">
      <c r="A775" s="22"/>
      <c r="C775" s="10"/>
      <c r="D775" s="19" t="str">
        <f>IFERROR(VLOOKUP(C775, 'Project Master'!A:B, 2, FALSE), "")</f>
        <v/>
      </c>
      <c r="F775" s="10" t="str">
        <f t="shared" si="1"/>
        <v/>
      </c>
    </row>
    <row r="776">
      <c r="A776" s="22"/>
      <c r="C776" s="10"/>
      <c r="D776" s="19" t="str">
        <f>IFERROR(VLOOKUP(C776, 'Project Master'!A:B, 2, FALSE), "")</f>
        <v/>
      </c>
      <c r="F776" s="10" t="str">
        <f t="shared" si="1"/>
        <v/>
      </c>
    </row>
    <row r="777">
      <c r="A777" s="22"/>
      <c r="C777" s="10"/>
      <c r="D777" s="19" t="str">
        <f>IFERROR(VLOOKUP(C777, 'Project Master'!A:B, 2, FALSE), "")</f>
        <v/>
      </c>
      <c r="F777" s="10" t="str">
        <f t="shared" si="1"/>
        <v/>
      </c>
    </row>
    <row r="778">
      <c r="A778" s="22"/>
      <c r="C778" s="10"/>
      <c r="D778" s="19" t="str">
        <f>IFERROR(VLOOKUP(C778, 'Project Master'!A:B, 2, FALSE), "")</f>
        <v/>
      </c>
      <c r="F778" s="10" t="str">
        <f t="shared" si="1"/>
        <v/>
      </c>
    </row>
    <row r="779">
      <c r="A779" s="22"/>
      <c r="C779" s="10"/>
      <c r="D779" s="19" t="str">
        <f>IFERROR(VLOOKUP(C779, 'Project Master'!A:B, 2, FALSE), "")</f>
        <v/>
      </c>
      <c r="F779" s="10" t="str">
        <f t="shared" si="1"/>
        <v/>
      </c>
    </row>
    <row r="780">
      <c r="A780" s="22"/>
      <c r="C780" s="10"/>
      <c r="D780" s="19" t="str">
        <f>IFERROR(VLOOKUP(C780, 'Project Master'!A:B, 2, FALSE), "")</f>
        <v/>
      </c>
      <c r="F780" s="10" t="str">
        <f t="shared" si="1"/>
        <v/>
      </c>
    </row>
    <row r="781">
      <c r="A781" s="22"/>
      <c r="C781" s="10"/>
      <c r="D781" s="19" t="str">
        <f>IFERROR(VLOOKUP(C781, 'Project Master'!A:B, 2, FALSE), "")</f>
        <v/>
      </c>
      <c r="F781" s="10" t="str">
        <f t="shared" si="1"/>
        <v/>
      </c>
    </row>
    <row r="782">
      <c r="A782" s="22"/>
      <c r="C782" s="10"/>
      <c r="D782" s="19" t="str">
        <f>IFERROR(VLOOKUP(C782, 'Project Master'!A:B, 2, FALSE), "")</f>
        <v/>
      </c>
      <c r="F782" s="10" t="str">
        <f t="shared" si="1"/>
        <v/>
      </c>
    </row>
    <row r="783">
      <c r="A783" s="22"/>
      <c r="C783" s="10"/>
      <c r="D783" s="19" t="str">
        <f>IFERROR(VLOOKUP(C783, 'Project Master'!A:B, 2, FALSE), "")</f>
        <v/>
      </c>
      <c r="F783" s="10" t="str">
        <f t="shared" si="1"/>
        <v/>
      </c>
    </row>
    <row r="784">
      <c r="A784" s="22"/>
      <c r="C784" s="10"/>
      <c r="D784" s="19" t="str">
        <f>IFERROR(VLOOKUP(C784, 'Project Master'!A:B, 2, FALSE), "")</f>
        <v/>
      </c>
      <c r="F784" s="10" t="str">
        <f t="shared" si="1"/>
        <v/>
      </c>
    </row>
    <row r="785">
      <c r="A785" s="22"/>
      <c r="C785" s="10"/>
      <c r="D785" s="19" t="str">
        <f>IFERROR(VLOOKUP(C785, 'Project Master'!A:B, 2, FALSE), "")</f>
        <v/>
      </c>
      <c r="F785" s="10" t="str">
        <f t="shared" si="1"/>
        <v/>
      </c>
    </row>
    <row r="786">
      <c r="A786" s="22"/>
      <c r="C786" s="10"/>
      <c r="D786" s="19" t="str">
        <f>IFERROR(VLOOKUP(C786, 'Project Master'!A:B, 2, FALSE), "")</f>
        <v/>
      </c>
      <c r="F786" s="10" t="str">
        <f t="shared" si="1"/>
        <v/>
      </c>
    </row>
    <row r="787">
      <c r="A787" s="22"/>
      <c r="C787" s="10"/>
      <c r="D787" s="19" t="str">
        <f>IFERROR(VLOOKUP(C787, 'Project Master'!A:B, 2, FALSE), "")</f>
        <v/>
      </c>
      <c r="F787" s="10" t="str">
        <f t="shared" si="1"/>
        <v/>
      </c>
    </row>
    <row r="788">
      <c r="A788" s="22"/>
      <c r="C788" s="10"/>
      <c r="D788" s="19" t="str">
        <f>IFERROR(VLOOKUP(C788, 'Project Master'!A:B, 2, FALSE), "")</f>
        <v/>
      </c>
      <c r="F788" s="10" t="str">
        <f t="shared" si="1"/>
        <v/>
      </c>
    </row>
    <row r="789">
      <c r="A789" s="22"/>
      <c r="C789" s="10"/>
      <c r="D789" s="19" t="str">
        <f>IFERROR(VLOOKUP(C789, 'Project Master'!A:B, 2, FALSE), "")</f>
        <v/>
      </c>
      <c r="F789" s="10" t="str">
        <f t="shared" si="1"/>
        <v/>
      </c>
    </row>
    <row r="790">
      <c r="A790" s="22"/>
      <c r="C790" s="10"/>
      <c r="D790" s="19" t="str">
        <f>IFERROR(VLOOKUP(C790, 'Project Master'!A:B, 2, FALSE), "")</f>
        <v/>
      </c>
      <c r="F790" s="10" t="str">
        <f t="shared" si="1"/>
        <v/>
      </c>
    </row>
    <row r="791">
      <c r="A791" s="22"/>
      <c r="C791" s="10"/>
      <c r="D791" s="19" t="str">
        <f>IFERROR(VLOOKUP(C791, 'Project Master'!A:B, 2, FALSE), "")</f>
        <v/>
      </c>
      <c r="F791" s="10" t="str">
        <f t="shared" si="1"/>
        <v/>
      </c>
    </row>
    <row r="792">
      <c r="A792" s="22"/>
      <c r="C792" s="10"/>
      <c r="D792" s="19" t="str">
        <f>IFERROR(VLOOKUP(C792, 'Project Master'!A:B, 2, FALSE), "")</f>
        <v/>
      </c>
      <c r="F792" s="10" t="str">
        <f t="shared" si="1"/>
        <v/>
      </c>
    </row>
    <row r="793">
      <c r="A793" s="22"/>
      <c r="C793" s="10"/>
      <c r="D793" s="19" t="str">
        <f>IFERROR(VLOOKUP(C793, 'Project Master'!A:B, 2, FALSE), "")</f>
        <v/>
      </c>
      <c r="F793" s="10" t="str">
        <f t="shared" si="1"/>
        <v/>
      </c>
    </row>
    <row r="794">
      <c r="A794" s="22"/>
      <c r="C794" s="10"/>
      <c r="D794" s="19" t="str">
        <f>IFERROR(VLOOKUP(C794, 'Project Master'!A:B, 2, FALSE), "")</f>
        <v/>
      </c>
      <c r="F794" s="10" t="str">
        <f t="shared" si="1"/>
        <v/>
      </c>
    </row>
    <row r="795">
      <c r="A795" s="22"/>
      <c r="C795" s="10"/>
      <c r="D795" s="19" t="str">
        <f>IFERROR(VLOOKUP(C795, 'Project Master'!A:B, 2, FALSE), "")</f>
        <v/>
      </c>
      <c r="F795" s="10" t="str">
        <f t="shared" si="1"/>
        <v/>
      </c>
    </row>
    <row r="796">
      <c r="A796" s="22"/>
      <c r="C796" s="10"/>
      <c r="D796" s="19" t="str">
        <f>IFERROR(VLOOKUP(C796, 'Project Master'!A:B, 2, FALSE), "")</f>
        <v/>
      </c>
      <c r="F796" s="10" t="str">
        <f t="shared" si="1"/>
        <v/>
      </c>
    </row>
    <row r="797">
      <c r="A797" s="22"/>
      <c r="C797" s="10"/>
      <c r="D797" s="19" t="str">
        <f>IFERROR(VLOOKUP(C797, 'Project Master'!A:B, 2, FALSE), "")</f>
        <v/>
      </c>
      <c r="F797" s="10" t="str">
        <f t="shared" si="1"/>
        <v/>
      </c>
    </row>
    <row r="798">
      <c r="A798" s="22"/>
      <c r="C798" s="10"/>
      <c r="D798" s="19" t="str">
        <f>IFERROR(VLOOKUP(C798, 'Project Master'!A:B, 2, FALSE), "")</f>
        <v/>
      </c>
      <c r="F798" s="10" t="str">
        <f t="shared" si="1"/>
        <v/>
      </c>
    </row>
    <row r="799">
      <c r="A799" s="22"/>
      <c r="C799" s="10"/>
      <c r="D799" s="19" t="str">
        <f>IFERROR(VLOOKUP(C799, 'Project Master'!A:B, 2, FALSE), "")</f>
        <v/>
      </c>
      <c r="F799" s="10" t="str">
        <f t="shared" si="1"/>
        <v/>
      </c>
    </row>
    <row r="800">
      <c r="A800" s="22"/>
      <c r="C800" s="10"/>
      <c r="D800" s="19" t="str">
        <f>IFERROR(VLOOKUP(C800, 'Project Master'!A:B, 2, FALSE), "")</f>
        <v/>
      </c>
      <c r="F800" s="10" t="str">
        <f t="shared" si="1"/>
        <v/>
      </c>
    </row>
    <row r="801">
      <c r="A801" s="22"/>
      <c r="C801" s="10"/>
      <c r="D801" s="19" t="str">
        <f>IFERROR(VLOOKUP(C801, 'Project Master'!A:B, 2, FALSE), "")</f>
        <v/>
      </c>
      <c r="F801" s="10" t="str">
        <f t="shared" si="1"/>
        <v/>
      </c>
    </row>
    <row r="802">
      <c r="A802" s="22"/>
      <c r="C802" s="10"/>
      <c r="D802" s="19" t="str">
        <f>IFERROR(VLOOKUP(C802, 'Project Master'!A:B, 2, FALSE), "")</f>
        <v/>
      </c>
      <c r="F802" s="10" t="str">
        <f t="shared" si="1"/>
        <v/>
      </c>
    </row>
    <row r="803">
      <c r="A803" s="22"/>
      <c r="C803" s="10"/>
      <c r="D803" s="19" t="str">
        <f>IFERROR(VLOOKUP(C803, 'Project Master'!A:B, 2, FALSE), "")</f>
        <v/>
      </c>
      <c r="F803" s="10" t="str">
        <f t="shared" si="1"/>
        <v/>
      </c>
    </row>
    <row r="804">
      <c r="A804" s="22"/>
      <c r="C804" s="10"/>
      <c r="D804" s="19" t="str">
        <f>IFERROR(VLOOKUP(C804, 'Project Master'!A:B, 2, FALSE), "")</f>
        <v/>
      </c>
      <c r="F804" s="10" t="str">
        <f t="shared" si="1"/>
        <v/>
      </c>
    </row>
    <row r="805">
      <c r="A805" s="22"/>
      <c r="C805" s="10"/>
      <c r="D805" s="19" t="str">
        <f>IFERROR(VLOOKUP(C805, 'Project Master'!A:B, 2, FALSE), "")</f>
        <v/>
      </c>
      <c r="F805" s="10" t="str">
        <f t="shared" si="1"/>
        <v/>
      </c>
    </row>
    <row r="806">
      <c r="A806" s="22"/>
      <c r="C806" s="10"/>
      <c r="D806" s="19" t="str">
        <f>IFERROR(VLOOKUP(C806, 'Project Master'!A:B, 2, FALSE), "")</f>
        <v/>
      </c>
      <c r="F806" s="10" t="str">
        <f t="shared" si="1"/>
        <v/>
      </c>
    </row>
    <row r="807">
      <c r="A807" s="22"/>
      <c r="C807" s="10"/>
      <c r="D807" s="19" t="str">
        <f>IFERROR(VLOOKUP(C807, 'Project Master'!A:B, 2, FALSE), "")</f>
        <v/>
      </c>
      <c r="F807" s="10" t="str">
        <f t="shared" si="1"/>
        <v/>
      </c>
    </row>
    <row r="808">
      <c r="A808" s="22"/>
      <c r="C808" s="10"/>
      <c r="D808" s="19" t="str">
        <f>IFERROR(VLOOKUP(C808, 'Project Master'!A:B, 2, FALSE), "")</f>
        <v/>
      </c>
      <c r="F808" s="10" t="str">
        <f t="shared" si="1"/>
        <v/>
      </c>
    </row>
    <row r="809">
      <c r="A809" s="22"/>
      <c r="C809" s="10"/>
      <c r="D809" s="19" t="str">
        <f>IFERROR(VLOOKUP(C809, 'Project Master'!A:B, 2, FALSE), "")</f>
        <v/>
      </c>
      <c r="F809" s="10" t="str">
        <f t="shared" si="1"/>
        <v/>
      </c>
    </row>
    <row r="810">
      <c r="A810" s="22"/>
      <c r="C810" s="10"/>
      <c r="D810" s="19" t="str">
        <f>IFERROR(VLOOKUP(C810, 'Project Master'!A:B, 2, FALSE), "")</f>
        <v/>
      </c>
      <c r="F810" s="10" t="str">
        <f t="shared" si="1"/>
        <v/>
      </c>
    </row>
    <row r="811">
      <c r="A811" s="22"/>
      <c r="C811" s="10"/>
      <c r="D811" s="19" t="str">
        <f>IFERROR(VLOOKUP(C811, 'Project Master'!A:B, 2, FALSE), "")</f>
        <v/>
      </c>
      <c r="F811" s="10" t="str">
        <f t="shared" si="1"/>
        <v/>
      </c>
    </row>
    <row r="812">
      <c r="A812" s="22"/>
      <c r="C812" s="10"/>
      <c r="D812" s="19" t="str">
        <f>IFERROR(VLOOKUP(C812, 'Project Master'!A:B, 2, FALSE), "")</f>
        <v/>
      </c>
      <c r="F812" s="10" t="str">
        <f t="shared" si="1"/>
        <v/>
      </c>
    </row>
    <row r="813">
      <c r="A813" s="22"/>
      <c r="C813" s="10"/>
      <c r="D813" s="19" t="str">
        <f>IFERROR(VLOOKUP(C813, 'Project Master'!A:B, 2, FALSE), "")</f>
        <v/>
      </c>
      <c r="F813" s="10" t="str">
        <f t="shared" si="1"/>
        <v/>
      </c>
    </row>
    <row r="814">
      <c r="A814" s="22"/>
      <c r="C814" s="10"/>
      <c r="D814" s="19" t="str">
        <f>IFERROR(VLOOKUP(C814, 'Project Master'!A:B, 2, FALSE), "")</f>
        <v/>
      </c>
      <c r="F814" s="10" t="str">
        <f t="shared" si="1"/>
        <v/>
      </c>
    </row>
    <row r="815">
      <c r="A815" s="22"/>
      <c r="C815" s="10"/>
      <c r="D815" s="19" t="str">
        <f>IFERROR(VLOOKUP(C815, 'Project Master'!A:B, 2, FALSE), "")</f>
        <v/>
      </c>
      <c r="F815" s="10" t="str">
        <f t="shared" si="1"/>
        <v/>
      </c>
    </row>
    <row r="816">
      <c r="A816" s="22"/>
      <c r="C816" s="10"/>
      <c r="D816" s="19" t="str">
        <f>IFERROR(VLOOKUP(C816, 'Project Master'!A:B, 2, FALSE), "")</f>
        <v/>
      </c>
      <c r="F816" s="10" t="str">
        <f t="shared" si="1"/>
        <v/>
      </c>
    </row>
    <row r="817">
      <c r="A817" s="22"/>
      <c r="C817" s="10"/>
      <c r="D817" s="19" t="str">
        <f>IFERROR(VLOOKUP(C817, 'Project Master'!A:B, 2, FALSE), "")</f>
        <v/>
      </c>
      <c r="F817" s="10" t="str">
        <f t="shared" si="1"/>
        <v/>
      </c>
    </row>
    <row r="818">
      <c r="A818" s="22"/>
      <c r="C818" s="10"/>
      <c r="D818" s="19" t="str">
        <f>IFERROR(VLOOKUP(C818, 'Project Master'!A:B, 2, FALSE), "")</f>
        <v/>
      </c>
      <c r="F818" s="10" t="str">
        <f t="shared" si="1"/>
        <v/>
      </c>
    </row>
    <row r="819">
      <c r="A819" s="22"/>
      <c r="C819" s="10"/>
      <c r="D819" s="19" t="str">
        <f>IFERROR(VLOOKUP(C819, 'Project Master'!A:B, 2, FALSE), "")</f>
        <v/>
      </c>
      <c r="F819" s="10" t="str">
        <f t="shared" si="1"/>
        <v/>
      </c>
    </row>
    <row r="820">
      <c r="A820" s="22"/>
      <c r="C820" s="10"/>
      <c r="D820" s="19" t="str">
        <f>IFERROR(VLOOKUP(C820, 'Project Master'!A:B, 2, FALSE), "")</f>
        <v/>
      </c>
      <c r="F820" s="10" t="str">
        <f t="shared" si="1"/>
        <v/>
      </c>
    </row>
    <row r="821">
      <c r="A821" s="22"/>
      <c r="C821" s="10"/>
      <c r="D821" s="19" t="str">
        <f>IFERROR(VLOOKUP(C821, 'Project Master'!A:B, 2, FALSE), "")</f>
        <v/>
      </c>
      <c r="F821" s="10" t="str">
        <f t="shared" si="1"/>
        <v/>
      </c>
    </row>
    <row r="822">
      <c r="A822" s="22"/>
      <c r="C822" s="10"/>
      <c r="D822" s="19" t="str">
        <f>IFERROR(VLOOKUP(C822, 'Project Master'!A:B, 2, FALSE), "")</f>
        <v/>
      </c>
      <c r="F822" s="10" t="str">
        <f t="shared" si="1"/>
        <v/>
      </c>
    </row>
    <row r="823">
      <c r="A823" s="22"/>
      <c r="C823" s="10"/>
      <c r="D823" s="19" t="str">
        <f>IFERROR(VLOOKUP(C823, 'Project Master'!A:B, 2, FALSE), "")</f>
        <v/>
      </c>
      <c r="F823" s="10" t="str">
        <f t="shared" si="1"/>
        <v/>
      </c>
    </row>
    <row r="824">
      <c r="A824" s="22"/>
      <c r="C824" s="10"/>
      <c r="D824" s="19" t="str">
        <f>IFERROR(VLOOKUP(C824, 'Project Master'!A:B, 2, FALSE), "")</f>
        <v/>
      </c>
      <c r="F824" s="10" t="str">
        <f t="shared" si="1"/>
        <v/>
      </c>
    </row>
    <row r="825">
      <c r="A825" s="22"/>
      <c r="C825" s="10"/>
      <c r="D825" s="19" t="str">
        <f>IFERROR(VLOOKUP(C825, 'Project Master'!A:B, 2, FALSE), "")</f>
        <v/>
      </c>
      <c r="F825" s="10" t="str">
        <f t="shared" si="1"/>
        <v/>
      </c>
    </row>
    <row r="826">
      <c r="A826" s="22"/>
      <c r="C826" s="10"/>
      <c r="D826" s="19" t="str">
        <f>IFERROR(VLOOKUP(C826, 'Project Master'!A:B, 2, FALSE), "")</f>
        <v/>
      </c>
      <c r="F826" s="10" t="str">
        <f t="shared" si="1"/>
        <v/>
      </c>
    </row>
    <row r="827">
      <c r="A827" s="22"/>
      <c r="C827" s="10"/>
      <c r="D827" s="19" t="str">
        <f>IFERROR(VLOOKUP(C827, 'Project Master'!A:B, 2, FALSE), "")</f>
        <v/>
      </c>
      <c r="F827" s="10" t="str">
        <f t="shared" si="1"/>
        <v/>
      </c>
    </row>
    <row r="828">
      <c r="A828" s="22"/>
      <c r="C828" s="10"/>
      <c r="D828" s="19" t="str">
        <f>IFERROR(VLOOKUP(C828, 'Project Master'!A:B, 2, FALSE), "")</f>
        <v/>
      </c>
      <c r="F828" s="10" t="str">
        <f t="shared" si="1"/>
        <v/>
      </c>
    </row>
    <row r="829">
      <c r="A829" s="22"/>
      <c r="C829" s="10"/>
      <c r="D829" s="19" t="str">
        <f>IFERROR(VLOOKUP(C829, 'Project Master'!A:B, 2, FALSE), "")</f>
        <v/>
      </c>
      <c r="F829" s="10" t="str">
        <f t="shared" si="1"/>
        <v/>
      </c>
    </row>
    <row r="830">
      <c r="A830" s="22"/>
      <c r="C830" s="10"/>
      <c r="D830" s="19" t="str">
        <f>IFERROR(VLOOKUP(C830, 'Project Master'!A:B, 2, FALSE), "")</f>
        <v/>
      </c>
      <c r="F830" s="10" t="str">
        <f t="shared" si="1"/>
        <v/>
      </c>
    </row>
    <row r="831">
      <c r="A831" s="22"/>
      <c r="C831" s="10"/>
      <c r="D831" s="19" t="str">
        <f>IFERROR(VLOOKUP(C831, 'Project Master'!A:B, 2, FALSE), "")</f>
        <v/>
      </c>
      <c r="F831" s="10" t="str">
        <f t="shared" si="1"/>
        <v/>
      </c>
    </row>
    <row r="832">
      <c r="A832" s="22"/>
      <c r="C832" s="10"/>
      <c r="D832" s="19" t="str">
        <f>IFERROR(VLOOKUP(C832, 'Project Master'!A:B, 2, FALSE), "")</f>
        <v/>
      </c>
      <c r="F832" s="10" t="str">
        <f t="shared" si="1"/>
        <v/>
      </c>
    </row>
    <row r="833">
      <c r="A833" s="22"/>
      <c r="C833" s="10"/>
      <c r="D833" s="19" t="str">
        <f>IFERROR(VLOOKUP(C833, 'Project Master'!A:B, 2, FALSE), "")</f>
        <v/>
      </c>
      <c r="F833" s="10" t="str">
        <f t="shared" si="1"/>
        <v/>
      </c>
    </row>
    <row r="834">
      <c r="A834" s="22"/>
      <c r="C834" s="10"/>
      <c r="D834" s="19" t="str">
        <f>IFERROR(VLOOKUP(C834, 'Project Master'!A:B, 2, FALSE), "")</f>
        <v/>
      </c>
      <c r="F834" s="10" t="str">
        <f t="shared" si="1"/>
        <v/>
      </c>
    </row>
    <row r="835">
      <c r="A835" s="22"/>
      <c r="C835" s="10"/>
      <c r="D835" s="19" t="str">
        <f>IFERROR(VLOOKUP(C835, 'Project Master'!A:B, 2, FALSE), "")</f>
        <v/>
      </c>
      <c r="F835" s="10" t="str">
        <f t="shared" si="1"/>
        <v/>
      </c>
    </row>
    <row r="836">
      <c r="A836" s="22"/>
      <c r="C836" s="10"/>
      <c r="D836" s="19" t="str">
        <f>IFERROR(VLOOKUP(C836, 'Project Master'!A:B, 2, FALSE), "")</f>
        <v/>
      </c>
      <c r="F836" s="10" t="str">
        <f t="shared" si="1"/>
        <v/>
      </c>
    </row>
    <row r="837">
      <c r="A837" s="22"/>
      <c r="C837" s="10"/>
      <c r="D837" s="19" t="str">
        <f>IFERROR(VLOOKUP(C837, 'Project Master'!A:B, 2, FALSE), "")</f>
        <v/>
      </c>
      <c r="F837" s="10" t="str">
        <f t="shared" si="1"/>
        <v/>
      </c>
    </row>
    <row r="838">
      <c r="A838" s="22"/>
      <c r="C838" s="10"/>
      <c r="D838" s="19" t="str">
        <f>IFERROR(VLOOKUP(C838, 'Project Master'!A:B, 2, FALSE), "")</f>
        <v/>
      </c>
      <c r="F838" s="10" t="str">
        <f t="shared" si="1"/>
        <v/>
      </c>
    </row>
    <row r="839">
      <c r="A839" s="22"/>
      <c r="C839" s="10"/>
      <c r="D839" s="19" t="str">
        <f>IFERROR(VLOOKUP(C839, 'Project Master'!A:B, 2, FALSE), "")</f>
        <v/>
      </c>
      <c r="F839" s="10" t="str">
        <f t="shared" si="1"/>
        <v/>
      </c>
    </row>
    <row r="840">
      <c r="A840" s="22"/>
      <c r="C840" s="10"/>
      <c r="D840" s="19" t="str">
        <f>IFERROR(VLOOKUP(C840, 'Project Master'!A:B, 2, FALSE), "")</f>
        <v/>
      </c>
      <c r="F840" s="10" t="str">
        <f t="shared" si="1"/>
        <v/>
      </c>
    </row>
    <row r="841">
      <c r="A841" s="22"/>
      <c r="C841" s="10"/>
      <c r="D841" s="19" t="str">
        <f>IFERROR(VLOOKUP(C841, 'Project Master'!A:B, 2, FALSE), "")</f>
        <v/>
      </c>
      <c r="F841" s="10" t="str">
        <f t="shared" si="1"/>
        <v/>
      </c>
    </row>
    <row r="842">
      <c r="A842" s="22"/>
      <c r="C842" s="10"/>
      <c r="D842" s="19" t="str">
        <f>IFERROR(VLOOKUP(C842, 'Project Master'!A:B, 2, FALSE), "")</f>
        <v/>
      </c>
      <c r="F842" s="10" t="str">
        <f t="shared" si="1"/>
        <v/>
      </c>
    </row>
    <row r="843">
      <c r="A843" s="22"/>
      <c r="C843" s="10"/>
      <c r="D843" s="19" t="str">
        <f>IFERROR(VLOOKUP(C843, 'Project Master'!A:B, 2, FALSE), "")</f>
        <v/>
      </c>
      <c r="F843" s="10" t="str">
        <f t="shared" si="1"/>
        <v/>
      </c>
    </row>
    <row r="844">
      <c r="A844" s="22"/>
      <c r="C844" s="10"/>
      <c r="D844" s="19" t="str">
        <f>IFERROR(VLOOKUP(C844, 'Project Master'!A:B, 2, FALSE), "")</f>
        <v/>
      </c>
      <c r="F844" s="10" t="str">
        <f t="shared" si="1"/>
        <v/>
      </c>
    </row>
    <row r="845">
      <c r="A845" s="22"/>
      <c r="C845" s="10"/>
      <c r="D845" s="19" t="str">
        <f>IFERROR(VLOOKUP(C845, 'Project Master'!A:B, 2, FALSE), "")</f>
        <v/>
      </c>
      <c r="F845" s="10" t="str">
        <f t="shared" si="1"/>
        <v/>
      </c>
    </row>
    <row r="846">
      <c r="A846" s="22"/>
      <c r="C846" s="10"/>
      <c r="D846" s="19" t="str">
        <f>IFERROR(VLOOKUP(C846, 'Project Master'!A:B, 2, FALSE), "")</f>
        <v/>
      </c>
      <c r="F846" s="10" t="str">
        <f t="shared" si="1"/>
        <v/>
      </c>
    </row>
    <row r="847">
      <c r="A847" s="22"/>
      <c r="C847" s="10"/>
      <c r="D847" s="19" t="str">
        <f>IFERROR(VLOOKUP(C847, 'Project Master'!A:B, 2, FALSE), "")</f>
        <v/>
      </c>
      <c r="F847" s="10" t="str">
        <f t="shared" si="1"/>
        <v/>
      </c>
    </row>
    <row r="848">
      <c r="A848" s="22"/>
      <c r="C848" s="10"/>
      <c r="D848" s="19" t="str">
        <f>IFERROR(VLOOKUP(C848, 'Project Master'!A:B, 2, FALSE), "")</f>
        <v/>
      </c>
      <c r="F848" s="10" t="str">
        <f t="shared" si="1"/>
        <v/>
      </c>
    </row>
    <row r="849">
      <c r="A849" s="22"/>
      <c r="C849" s="10"/>
      <c r="D849" s="19" t="str">
        <f>IFERROR(VLOOKUP(C849, 'Project Master'!A:B, 2, FALSE), "")</f>
        <v/>
      </c>
      <c r="F849" s="10" t="str">
        <f t="shared" si="1"/>
        <v/>
      </c>
    </row>
    <row r="850">
      <c r="A850" s="22"/>
      <c r="C850" s="10"/>
      <c r="D850" s="19" t="str">
        <f>IFERROR(VLOOKUP(C850, 'Project Master'!A:B, 2, FALSE), "")</f>
        <v/>
      </c>
      <c r="F850" s="10" t="str">
        <f t="shared" si="1"/>
        <v/>
      </c>
    </row>
    <row r="851">
      <c r="A851" s="22"/>
      <c r="C851" s="10"/>
      <c r="D851" s="19" t="str">
        <f>IFERROR(VLOOKUP(C851, 'Project Master'!A:B, 2, FALSE), "")</f>
        <v/>
      </c>
      <c r="F851" s="10" t="str">
        <f t="shared" si="1"/>
        <v/>
      </c>
    </row>
    <row r="852">
      <c r="A852" s="22"/>
      <c r="C852" s="10"/>
      <c r="D852" s="19" t="str">
        <f>IFERROR(VLOOKUP(C852, 'Project Master'!A:B, 2, FALSE), "")</f>
        <v/>
      </c>
      <c r="F852" s="10" t="str">
        <f t="shared" si="1"/>
        <v/>
      </c>
    </row>
    <row r="853">
      <c r="A853" s="22"/>
      <c r="C853" s="10"/>
      <c r="D853" s="19" t="str">
        <f>IFERROR(VLOOKUP(C853, 'Project Master'!A:B, 2, FALSE), "")</f>
        <v/>
      </c>
      <c r="F853" s="10" t="str">
        <f t="shared" si="1"/>
        <v/>
      </c>
    </row>
    <row r="854">
      <c r="A854" s="22"/>
      <c r="C854" s="10"/>
      <c r="D854" s="19" t="str">
        <f>IFERROR(VLOOKUP(C854, 'Project Master'!A:B, 2, FALSE), "")</f>
        <v/>
      </c>
      <c r="F854" s="10" t="str">
        <f t="shared" si="1"/>
        <v/>
      </c>
    </row>
    <row r="855">
      <c r="A855" s="22"/>
      <c r="C855" s="10"/>
      <c r="D855" s="19" t="str">
        <f>IFERROR(VLOOKUP(C855, 'Project Master'!A:B, 2, FALSE), "")</f>
        <v/>
      </c>
      <c r="F855" s="10" t="str">
        <f t="shared" si="1"/>
        <v/>
      </c>
    </row>
    <row r="856">
      <c r="A856" s="22"/>
      <c r="C856" s="10"/>
      <c r="D856" s="19" t="str">
        <f>IFERROR(VLOOKUP(C856, 'Project Master'!A:B, 2, FALSE), "")</f>
        <v/>
      </c>
      <c r="F856" s="10" t="str">
        <f t="shared" si="1"/>
        <v/>
      </c>
    </row>
    <row r="857">
      <c r="A857" s="22"/>
      <c r="C857" s="10"/>
      <c r="D857" s="19" t="str">
        <f>IFERROR(VLOOKUP(C857, 'Project Master'!A:B, 2, FALSE), "")</f>
        <v/>
      </c>
      <c r="F857" s="10" t="str">
        <f t="shared" si="1"/>
        <v/>
      </c>
    </row>
    <row r="858">
      <c r="A858" s="22"/>
      <c r="C858" s="10"/>
      <c r="D858" s="19" t="str">
        <f>IFERROR(VLOOKUP(C858, 'Project Master'!A:B, 2, FALSE), "")</f>
        <v/>
      </c>
      <c r="F858" s="10" t="str">
        <f t="shared" si="1"/>
        <v/>
      </c>
    </row>
    <row r="859">
      <c r="A859" s="22"/>
      <c r="C859" s="10"/>
      <c r="D859" s="19" t="str">
        <f>IFERROR(VLOOKUP(C859, 'Project Master'!A:B, 2, FALSE), "")</f>
        <v/>
      </c>
      <c r="F859" s="10" t="str">
        <f t="shared" si="1"/>
        <v/>
      </c>
    </row>
    <row r="860">
      <c r="A860" s="22"/>
      <c r="C860" s="10"/>
      <c r="D860" s="19" t="str">
        <f>IFERROR(VLOOKUP(C860, 'Project Master'!A:B, 2, FALSE), "")</f>
        <v/>
      </c>
      <c r="F860" s="10" t="str">
        <f t="shared" si="1"/>
        <v/>
      </c>
    </row>
    <row r="861">
      <c r="A861" s="22"/>
      <c r="C861" s="10"/>
      <c r="D861" s="19" t="str">
        <f>IFERROR(VLOOKUP(C861, 'Project Master'!A:B, 2, FALSE), "")</f>
        <v/>
      </c>
      <c r="F861" s="10" t="str">
        <f t="shared" si="1"/>
        <v/>
      </c>
    </row>
    <row r="862">
      <c r="A862" s="22"/>
      <c r="C862" s="10"/>
      <c r="D862" s="19" t="str">
        <f>IFERROR(VLOOKUP(C862, 'Project Master'!A:B, 2, FALSE), "")</f>
        <v/>
      </c>
      <c r="F862" s="10" t="str">
        <f t="shared" si="1"/>
        <v/>
      </c>
    </row>
    <row r="863">
      <c r="A863" s="22"/>
      <c r="C863" s="10"/>
      <c r="D863" s="19" t="str">
        <f>IFERROR(VLOOKUP(C863, 'Project Master'!A:B, 2, FALSE), "")</f>
        <v/>
      </c>
      <c r="F863" s="10" t="str">
        <f t="shared" si="1"/>
        <v/>
      </c>
    </row>
    <row r="864">
      <c r="A864" s="22"/>
      <c r="C864" s="10"/>
      <c r="D864" s="19" t="str">
        <f>IFERROR(VLOOKUP(C864, 'Project Master'!A:B, 2, FALSE), "")</f>
        <v/>
      </c>
      <c r="F864" s="10" t="str">
        <f t="shared" si="1"/>
        <v/>
      </c>
    </row>
    <row r="865">
      <c r="A865" s="22"/>
      <c r="C865" s="10"/>
      <c r="D865" s="19" t="str">
        <f>IFERROR(VLOOKUP(C865, 'Project Master'!A:B, 2, FALSE), "")</f>
        <v/>
      </c>
      <c r="F865" s="10" t="str">
        <f t="shared" si="1"/>
        <v/>
      </c>
    </row>
    <row r="866">
      <c r="A866" s="22"/>
      <c r="C866" s="10"/>
      <c r="D866" s="19" t="str">
        <f>IFERROR(VLOOKUP(C866, 'Project Master'!A:B, 2, FALSE), "")</f>
        <v/>
      </c>
      <c r="F866" s="10" t="str">
        <f t="shared" si="1"/>
        <v/>
      </c>
    </row>
    <row r="867">
      <c r="A867" s="22"/>
      <c r="C867" s="10"/>
      <c r="D867" s="19" t="str">
        <f>IFERROR(VLOOKUP(C867, 'Project Master'!A:B, 2, FALSE), "")</f>
        <v/>
      </c>
      <c r="F867" s="10" t="str">
        <f t="shared" si="1"/>
        <v/>
      </c>
    </row>
    <row r="868">
      <c r="A868" s="22"/>
      <c r="C868" s="10"/>
      <c r="D868" s="19" t="str">
        <f>IFERROR(VLOOKUP(C868, 'Project Master'!A:B, 2, FALSE), "")</f>
        <v/>
      </c>
      <c r="F868" s="10" t="str">
        <f t="shared" si="1"/>
        <v/>
      </c>
    </row>
    <row r="869">
      <c r="A869" s="22"/>
      <c r="C869" s="10"/>
      <c r="D869" s="19" t="str">
        <f>IFERROR(VLOOKUP(C869, 'Project Master'!A:B, 2, FALSE), "")</f>
        <v/>
      </c>
      <c r="F869" s="10" t="str">
        <f t="shared" si="1"/>
        <v/>
      </c>
    </row>
    <row r="870">
      <c r="A870" s="22"/>
      <c r="C870" s="10"/>
      <c r="D870" s="19" t="str">
        <f>IFERROR(VLOOKUP(C870, 'Project Master'!A:B, 2, FALSE), "")</f>
        <v/>
      </c>
      <c r="F870" s="10" t="str">
        <f t="shared" si="1"/>
        <v/>
      </c>
    </row>
    <row r="871">
      <c r="A871" s="22"/>
      <c r="C871" s="10"/>
      <c r="D871" s="19" t="str">
        <f>IFERROR(VLOOKUP(C871, 'Project Master'!A:B, 2, FALSE), "")</f>
        <v/>
      </c>
      <c r="F871" s="10" t="str">
        <f t="shared" si="1"/>
        <v/>
      </c>
    </row>
    <row r="872">
      <c r="A872" s="22"/>
      <c r="C872" s="10"/>
      <c r="D872" s="19" t="str">
        <f>IFERROR(VLOOKUP(C872, 'Project Master'!A:B, 2, FALSE), "")</f>
        <v/>
      </c>
      <c r="F872" s="10" t="str">
        <f t="shared" si="1"/>
        <v/>
      </c>
    </row>
    <row r="873">
      <c r="A873" s="22"/>
      <c r="C873" s="10"/>
      <c r="D873" s="19" t="str">
        <f>IFERROR(VLOOKUP(C873, 'Project Master'!A:B, 2, FALSE), "")</f>
        <v/>
      </c>
      <c r="F873" s="10" t="str">
        <f t="shared" si="1"/>
        <v/>
      </c>
    </row>
    <row r="874">
      <c r="A874" s="22"/>
      <c r="C874" s="10"/>
      <c r="D874" s="19" t="str">
        <f>IFERROR(VLOOKUP(C874, 'Project Master'!A:B, 2, FALSE), "")</f>
        <v/>
      </c>
      <c r="F874" s="10" t="str">
        <f t="shared" si="1"/>
        <v/>
      </c>
    </row>
    <row r="875">
      <c r="A875" s="22"/>
      <c r="C875" s="10"/>
      <c r="D875" s="19" t="str">
        <f>IFERROR(VLOOKUP(C875, 'Project Master'!A:B, 2, FALSE), "")</f>
        <v/>
      </c>
      <c r="F875" s="10" t="str">
        <f t="shared" si="1"/>
        <v/>
      </c>
    </row>
    <row r="876">
      <c r="A876" s="22"/>
      <c r="C876" s="10"/>
      <c r="D876" s="19" t="str">
        <f>IFERROR(VLOOKUP(C876, 'Project Master'!A:B, 2, FALSE), "")</f>
        <v/>
      </c>
      <c r="F876" s="10" t="str">
        <f t="shared" si="1"/>
        <v/>
      </c>
    </row>
    <row r="877">
      <c r="A877" s="22"/>
      <c r="C877" s="10"/>
      <c r="D877" s="19" t="str">
        <f>IFERROR(VLOOKUP(C877, 'Project Master'!A:B, 2, FALSE), "")</f>
        <v/>
      </c>
      <c r="F877" s="10" t="str">
        <f t="shared" si="1"/>
        <v/>
      </c>
    </row>
    <row r="878">
      <c r="A878" s="22"/>
      <c r="C878" s="10"/>
      <c r="D878" s="19" t="str">
        <f>IFERROR(VLOOKUP(C878, 'Project Master'!A:B, 2, FALSE), "")</f>
        <v/>
      </c>
      <c r="F878" s="10" t="str">
        <f t="shared" si="1"/>
        <v/>
      </c>
    </row>
    <row r="879">
      <c r="A879" s="22"/>
      <c r="C879" s="10"/>
      <c r="D879" s="19" t="str">
        <f>IFERROR(VLOOKUP(C879, 'Project Master'!A:B, 2, FALSE), "")</f>
        <v/>
      </c>
      <c r="F879" s="10" t="str">
        <f t="shared" si="1"/>
        <v/>
      </c>
    </row>
    <row r="880">
      <c r="A880" s="22"/>
      <c r="C880" s="10"/>
      <c r="D880" s="19" t="str">
        <f>IFERROR(VLOOKUP(C880, 'Project Master'!A:B, 2, FALSE), "")</f>
        <v/>
      </c>
      <c r="F880" s="10" t="str">
        <f t="shared" si="1"/>
        <v/>
      </c>
    </row>
    <row r="881">
      <c r="A881" s="22"/>
      <c r="C881" s="10"/>
      <c r="D881" s="19" t="str">
        <f>IFERROR(VLOOKUP(C881, 'Project Master'!A:B, 2, FALSE), "")</f>
        <v/>
      </c>
      <c r="F881" s="10" t="str">
        <f t="shared" si="1"/>
        <v/>
      </c>
    </row>
    <row r="882">
      <c r="A882" s="22"/>
      <c r="C882" s="10"/>
      <c r="D882" s="19" t="str">
        <f>IFERROR(VLOOKUP(C882, 'Project Master'!A:B, 2, FALSE), "")</f>
        <v/>
      </c>
      <c r="F882" s="10" t="str">
        <f t="shared" si="1"/>
        <v/>
      </c>
    </row>
    <row r="883">
      <c r="A883" s="22"/>
      <c r="C883" s="10"/>
      <c r="D883" s="19" t="str">
        <f>IFERROR(VLOOKUP(C883, 'Project Master'!A:B, 2, FALSE), "")</f>
        <v/>
      </c>
      <c r="F883" s="10" t="str">
        <f t="shared" si="1"/>
        <v/>
      </c>
    </row>
    <row r="884">
      <c r="A884" s="22"/>
      <c r="C884" s="10"/>
      <c r="D884" s="19" t="str">
        <f>IFERROR(VLOOKUP(C884, 'Project Master'!A:B, 2, FALSE), "")</f>
        <v/>
      </c>
      <c r="F884" s="10" t="str">
        <f t="shared" si="1"/>
        <v/>
      </c>
    </row>
    <row r="885">
      <c r="A885" s="22"/>
      <c r="C885" s="10"/>
      <c r="D885" s="19" t="str">
        <f>IFERROR(VLOOKUP(C885, 'Project Master'!A:B, 2, FALSE), "")</f>
        <v/>
      </c>
      <c r="F885" s="10" t="str">
        <f t="shared" si="1"/>
        <v/>
      </c>
    </row>
    <row r="886">
      <c r="A886" s="22"/>
      <c r="C886" s="10"/>
      <c r="D886" s="19" t="str">
        <f>IFERROR(VLOOKUP(C886, 'Project Master'!A:B, 2, FALSE), "")</f>
        <v/>
      </c>
      <c r="F886" s="10" t="str">
        <f t="shared" si="1"/>
        <v/>
      </c>
    </row>
    <row r="887">
      <c r="A887" s="22"/>
      <c r="C887" s="10"/>
      <c r="D887" s="19" t="str">
        <f>IFERROR(VLOOKUP(C887, 'Project Master'!A:B, 2, FALSE), "")</f>
        <v/>
      </c>
      <c r="F887" s="10" t="str">
        <f t="shared" si="1"/>
        <v/>
      </c>
    </row>
    <row r="888">
      <c r="A888" s="22"/>
      <c r="C888" s="10"/>
      <c r="D888" s="19" t="str">
        <f>IFERROR(VLOOKUP(C888, 'Project Master'!A:B, 2, FALSE), "")</f>
        <v/>
      </c>
      <c r="F888" s="10" t="str">
        <f t="shared" si="1"/>
        <v/>
      </c>
    </row>
    <row r="889">
      <c r="A889" s="22"/>
      <c r="C889" s="10"/>
      <c r="D889" s="19" t="str">
        <f>IFERROR(VLOOKUP(C889, 'Project Master'!A:B, 2, FALSE), "")</f>
        <v/>
      </c>
      <c r="F889" s="10" t="str">
        <f t="shared" si="1"/>
        <v/>
      </c>
    </row>
    <row r="890">
      <c r="A890" s="22"/>
      <c r="C890" s="10"/>
      <c r="D890" s="19" t="str">
        <f>IFERROR(VLOOKUP(C890, 'Project Master'!A:B, 2, FALSE), "")</f>
        <v/>
      </c>
      <c r="F890" s="10" t="str">
        <f t="shared" si="1"/>
        <v/>
      </c>
    </row>
    <row r="891">
      <c r="A891" s="22"/>
      <c r="C891" s="10"/>
      <c r="D891" s="19" t="str">
        <f>IFERROR(VLOOKUP(C891, 'Project Master'!A:B, 2, FALSE), "")</f>
        <v/>
      </c>
      <c r="F891" s="10" t="str">
        <f t="shared" si="1"/>
        <v/>
      </c>
    </row>
    <row r="892">
      <c r="A892" s="22"/>
      <c r="C892" s="10"/>
      <c r="D892" s="19" t="str">
        <f>IFERROR(VLOOKUP(C892, 'Project Master'!A:B, 2, FALSE), "")</f>
        <v/>
      </c>
      <c r="F892" s="10" t="str">
        <f t="shared" si="1"/>
        <v/>
      </c>
    </row>
    <row r="893">
      <c r="A893" s="22"/>
      <c r="C893" s="10"/>
      <c r="D893" s="19" t="str">
        <f>IFERROR(VLOOKUP(C893, 'Project Master'!A:B, 2, FALSE), "")</f>
        <v/>
      </c>
      <c r="F893" s="10" t="str">
        <f t="shared" si="1"/>
        <v/>
      </c>
    </row>
    <row r="894">
      <c r="A894" s="22"/>
      <c r="C894" s="10"/>
      <c r="D894" s="19" t="str">
        <f>IFERROR(VLOOKUP(C894, 'Project Master'!A:B, 2, FALSE), "")</f>
        <v/>
      </c>
      <c r="F894" s="10" t="str">
        <f t="shared" si="1"/>
        <v/>
      </c>
    </row>
    <row r="895">
      <c r="A895" s="22"/>
      <c r="C895" s="10"/>
      <c r="D895" s="19" t="str">
        <f>IFERROR(VLOOKUP(C895, 'Project Master'!A:B, 2, FALSE), "")</f>
        <v/>
      </c>
      <c r="F895" s="10" t="str">
        <f t="shared" si="1"/>
        <v/>
      </c>
    </row>
    <row r="896">
      <c r="A896" s="22"/>
      <c r="C896" s="10"/>
      <c r="D896" s="19" t="str">
        <f>IFERROR(VLOOKUP(C896, 'Project Master'!A:B, 2, FALSE), "")</f>
        <v/>
      </c>
      <c r="F896" s="10" t="str">
        <f t="shared" si="1"/>
        <v/>
      </c>
    </row>
    <row r="897">
      <c r="A897" s="22"/>
      <c r="C897" s="10"/>
      <c r="D897" s="19" t="str">
        <f>IFERROR(VLOOKUP(C897, 'Project Master'!A:B, 2, FALSE), "")</f>
        <v/>
      </c>
      <c r="F897" s="10" t="str">
        <f t="shared" si="1"/>
        <v/>
      </c>
    </row>
    <row r="898">
      <c r="A898" s="22"/>
      <c r="C898" s="10"/>
      <c r="D898" s="19" t="str">
        <f>IFERROR(VLOOKUP(C898, 'Project Master'!A:B, 2, FALSE), "")</f>
        <v/>
      </c>
      <c r="F898" s="10" t="str">
        <f t="shared" si="1"/>
        <v/>
      </c>
    </row>
    <row r="899">
      <c r="A899" s="22"/>
      <c r="C899" s="10"/>
      <c r="D899" s="19" t="str">
        <f>IFERROR(VLOOKUP(C899, 'Project Master'!A:B, 2, FALSE), "")</f>
        <v/>
      </c>
      <c r="F899" s="10" t="str">
        <f t="shared" si="1"/>
        <v/>
      </c>
    </row>
    <row r="900">
      <c r="A900" s="22"/>
      <c r="C900" s="10"/>
      <c r="D900" s="19" t="str">
        <f>IFERROR(VLOOKUP(C900, 'Project Master'!A:B, 2, FALSE), "")</f>
        <v/>
      </c>
      <c r="F900" s="10" t="str">
        <f t="shared" si="1"/>
        <v/>
      </c>
    </row>
    <row r="901">
      <c r="A901" s="22"/>
      <c r="C901" s="10"/>
      <c r="D901" s="19" t="str">
        <f>IFERROR(VLOOKUP(C901, 'Project Master'!A:B, 2, FALSE), "")</f>
        <v/>
      </c>
      <c r="F901" s="10" t="str">
        <f t="shared" si="1"/>
        <v/>
      </c>
    </row>
    <row r="902">
      <c r="A902" s="22"/>
      <c r="C902" s="10"/>
      <c r="D902" s="19" t="str">
        <f>IFERROR(VLOOKUP(C902, 'Project Master'!A:B, 2, FALSE), "")</f>
        <v/>
      </c>
      <c r="F902" s="10" t="str">
        <f t="shared" si="1"/>
        <v/>
      </c>
    </row>
    <row r="903">
      <c r="A903" s="22"/>
      <c r="C903" s="10"/>
      <c r="D903" s="19" t="str">
        <f>IFERROR(VLOOKUP(C903, 'Project Master'!A:B, 2, FALSE), "")</f>
        <v/>
      </c>
      <c r="F903" s="10" t="str">
        <f t="shared" si="1"/>
        <v/>
      </c>
    </row>
    <row r="904">
      <c r="A904" s="22"/>
      <c r="C904" s="10"/>
      <c r="D904" s="19" t="str">
        <f>IFERROR(VLOOKUP(C904, 'Project Master'!A:B, 2, FALSE), "")</f>
        <v/>
      </c>
      <c r="F904" s="10" t="str">
        <f t="shared" si="1"/>
        <v/>
      </c>
    </row>
    <row r="905">
      <c r="A905" s="22"/>
      <c r="C905" s="10"/>
      <c r="D905" s="19" t="str">
        <f>IFERROR(VLOOKUP(C905, 'Project Master'!A:B, 2, FALSE), "")</f>
        <v/>
      </c>
      <c r="F905" s="10" t="str">
        <f t="shared" si="1"/>
        <v/>
      </c>
    </row>
    <row r="906">
      <c r="A906" s="22"/>
      <c r="C906" s="10"/>
      <c r="D906" s="19" t="str">
        <f>IFERROR(VLOOKUP(C906, 'Project Master'!A:B, 2, FALSE), "")</f>
        <v/>
      </c>
      <c r="F906" s="10" t="str">
        <f t="shared" si="1"/>
        <v/>
      </c>
    </row>
    <row r="907">
      <c r="A907" s="22"/>
      <c r="C907" s="10"/>
      <c r="D907" s="19" t="str">
        <f>IFERROR(VLOOKUP(C907, 'Project Master'!A:B, 2, FALSE), "")</f>
        <v/>
      </c>
      <c r="F907" s="10" t="str">
        <f t="shared" si="1"/>
        <v/>
      </c>
    </row>
    <row r="908">
      <c r="A908" s="22"/>
      <c r="C908" s="10"/>
      <c r="D908" s="19" t="str">
        <f>IFERROR(VLOOKUP(C908, 'Project Master'!A:B, 2, FALSE), "")</f>
        <v/>
      </c>
      <c r="F908" s="10" t="str">
        <f t="shared" si="1"/>
        <v/>
      </c>
    </row>
    <row r="909">
      <c r="A909" s="22"/>
      <c r="C909" s="10"/>
      <c r="D909" s="19" t="str">
        <f>IFERROR(VLOOKUP(C909, 'Project Master'!A:B, 2, FALSE), "")</f>
        <v/>
      </c>
      <c r="F909" s="10" t="str">
        <f t="shared" si="1"/>
        <v/>
      </c>
    </row>
    <row r="910">
      <c r="A910" s="22"/>
      <c r="C910" s="10"/>
      <c r="D910" s="19" t="str">
        <f>IFERROR(VLOOKUP(C910, 'Project Master'!A:B, 2, FALSE), "")</f>
        <v/>
      </c>
      <c r="F910" s="10" t="str">
        <f t="shared" si="1"/>
        <v/>
      </c>
    </row>
    <row r="911">
      <c r="A911" s="22"/>
      <c r="C911" s="10"/>
      <c r="D911" s="19" t="str">
        <f>IFERROR(VLOOKUP(C911, 'Project Master'!A:B, 2, FALSE), "")</f>
        <v/>
      </c>
      <c r="F911" s="10" t="str">
        <f t="shared" si="1"/>
        <v/>
      </c>
    </row>
    <row r="912">
      <c r="A912" s="22"/>
      <c r="C912" s="10"/>
      <c r="D912" s="19" t="str">
        <f>IFERROR(VLOOKUP(C912, 'Project Master'!A:B, 2, FALSE), "")</f>
        <v/>
      </c>
      <c r="F912" s="10" t="str">
        <f t="shared" si="1"/>
        <v/>
      </c>
    </row>
    <row r="913">
      <c r="A913" s="22"/>
      <c r="C913" s="10"/>
      <c r="D913" s="19" t="str">
        <f>IFERROR(VLOOKUP(C913, 'Project Master'!A:B, 2, FALSE), "")</f>
        <v/>
      </c>
      <c r="F913" s="10" t="str">
        <f t="shared" si="1"/>
        <v/>
      </c>
    </row>
    <row r="914">
      <c r="A914" s="22"/>
      <c r="C914" s="10"/>
      <c r="D914" s="19" t="str">
        <f>IFERROR(VLOOKUP(C914, 'Project Master'!A:B, 2, FALSE), "")</f>
        <v/>
      </c>
      <c r="F914" s="10" t="str">
        <f t="shared" si="1"/>
        <v/>
      </c>
    </row>
    <row r="915">
      <c r="A915" s="22"/>
      <c r="C915" s="10"/>
      <c r="D915" s="19" t="str">
        <f>IFERROR(VLOOKUP(C915, 'Project Master'!A:B, 2, FALSE), "")</f>
        <v/>
      </c>
      <c r="F915" s="10" t="str">
        <f t="shared" si="1"/>
        <v/>
      </c>
    </row>
    <row r="916">
      <c r="A916" s="22"/>
      <c r="C916" s="10"/>
      <c r="D916" s="19" t="str">
        <f>IFERROR(VLOOKUP(C916, 'Project Master'!A:B, 2, FALSE), "")</f>
        <v/>
      </c>
      <c r="F916" s="10" t="str">
        <f t="shared" si="1"/>
        <v/>
      </c>
    </row>
    <row r="917">
      <c r="A917" s="22"/>
      <c r="C917" s="10"/>
      <c r="D917" s="19" t="str">
        <f>IFERROR(VLOOKUP(C917, 'Project Master'!A:B, 2, FALSE), "")</f>
        <v/>
      </c>
      <c r="F917" s="10" t="str">
        <f t="shared" si="1"/>
        <v/>
      </c>
    </row>
    <row r="918">
      <c r="A918" s="22"/>
      <c r="C918" s="10"/>
      <c r="D918" s="19" t="str">
        <f>IFERROR(VLOOKUP(C918, 'Project Master'!A:B, 2, FALSE), "")</f>
        <v/>
      </c>
      <c r="F918" s="10" t="str">
        <f t="shared" si="1"/>
        <v/>
      </c>
    </row>
    <row r="919">
      <c r="A919" s="22"/>
      <c r="C919" s="10"/>
      <c r="D919" s="19" t="str">
        <f>IFERROR(VLOOKUP(C919, 'Project Master'!A:B, 2, FALSE), "")</f>
        <v/>
      </c>
      <c r="F919" s="10" t="str">
        <f t="shared" si="1"/>
        <v/>
      </c>
    </row>
    <row r="920">
      <c r="A920" s="22"/>
      <c r="C920" s="10"/>
      <c r="D920" s="19" t="str">
        <f>IFERROR(VLOOKUP(C920, 'Project Master'!A:B, 2, FALSE), "")</f>
        <v/>
      </c>
      <c r="F920" s="10" t="str">
        <f t="shared" si="1"/>
        <v/>
      </c>
    </row>
    <row r="921">
      <c r="A921" s="22"/>
      <c r="C921" s="10"/>
      <c r="D921" s="19" t="str">
        <f>IFERROR(VLOOKUP(C921, 'Project Master'!A:B, 2, FALSE), "")</f>
        <v/>
      </c>
      <c r="F921" s="10" t="str">
        <f t="shared" si="1"/>
        <v/>
      </c>
    </row>
    <row r="922">
      <c r="A922" s="22"/>
      <c r="C922" s="10"/>
      <c r="D922" s="19" t="str">
        <f>IFERROR(VLOOKUP(C922, 'Project Master'!A:B, 2, FALSE), "")</f>
        <v/>
      </c>
      <c r="F922" s="10" t="str">
        <f t="shared" si="1"/>
        <v/>
      </c>
    </row>
    <row r="923">
      <c r="A923" s="22"/>
      <c r="C923" s="10"/>
      <c r="D923" s="19" t="str">
        <f>IFERROR(VLOOKUP(C923, 'Project Master'!A:B, 2, FALSE), "")</f>
        <v/>
      </c>
      <c r="F923" s="10" t="str">
        <f t="shared" si="1"/>
        <v/>
      </c>
    </row>
    <row r="924">
      <c r="A924" s="22"/>
      <c r="C924" s="10"/>
      <c r="D924" s="19" t="str">
        <f>IFERROR(VLOOKUP(C924, 'Project Master'!A:B, 2, FALSE), "")</f>
        <v/>
      </c>
      <c r="F924" s="10" t="str">
        <f t="shared" si="1"/>
        <v/>
      </c>
    </row>
    <row r="925">
      <c r="A925" s="22"/>
      <c r="C925" s="10"/>
      <c r="D925" s="19" t="str">
        <f>IFERROR(VLOOKUP(C925, 'Project Master'!A:B, 2, FALSE), "")</f>
        <v/>
      </c>
      <c r="F925" s="10" t="str">
        <f t="shared" si="1"/>
        <v/>
      </c>
    </row>
    <row r="926">
      <c r="A926" s="22"/>
      <c r="C926" s="10"/>
      <c r="D926" s="19" t="str">
        <f>IFERROR(VLOOKUP(C926, 'Project Master'!A:B, 2, FALSE), "")</f>
        <v/>
      </c>
      <c r="F926" s="10" t="str">
        <f t="shared" si="1"/>
        <v/>
      </c>
    </row>
    <row r="927">
      <c r="A927" s="22"/>
      <c r="C927" s="10"/>
      <c r="D927" s="19" t="str">
        <f>IFERROR(VLOOKUP(C927, 'Project Master'!A:B, 2, FALSE), "")</f>
        <v/>
      </c>
      <c r="F927" s="10" t="str">
        <f t="shared" si="1"/>
        <v/>
      </c>
    </row>
    <row r="928">
      <c r="A928" s="22"/>
      <c r="C928" s="10"/>
      <c r="D928" s="19" t="str">
        <f>IFERROR(VLOOKUP(C928, 'Project Master'!A:B, 2, FALSE), "")</f>
        <v/>
      </c>
      <c r="F928" s="10" t="str">
        <f t="shared" si="1"/>
        <v/>
      </c>
    </row>
    <row r="929">
      <c r="A929" s="22"/>
      <c r="C929" s="10"/>
      <c r="D929" s="19" t="str">
        <f>IFERROR(VLOOKUP(C929, 'Project Master'!A:B, 2, FALSE), "")</f>
        <v/>
      </c>
      <c r="F929" s="10" t="str">
        <f t="shared" si="1"/>
        <v/>
      </c>
    </row>
    <row r="930">
      <c r="A930" s="22"/>
      <c r="C930" s="10"/>
      <c r="D930" s="19" t="str">
        <f>IFERROR(VLOOKUP(C930, 'Project Master'!A:B, 2, FALSE), "")</f>
        <v/>
      </c>
      <c r="F930" s="10" t="str">
        <f t="shared" si="1"/>
        <v/>
      </c>
    </row>
    <row r="931">
      <c r="A931" s="22"/>
      <c r="C931" s="10"/>
      <c r="D931" s="19" t="str">
        <f>IFERROR(VLOOKUP(C931, 'Project Master'!A:B, 2, FALSE), "")</f>
        <v/>
      </c>
      <c r="F931" s="10" t="str">
        <f t="shared" si="1"/>
        <v/>
      </c>
    </row>
    <row r="932">
      <c r="A932" s="22"/>
      <c r="C932" s="10"/>
      <c r="D932" s="19" t="str">
        <f>IFERROR(VLOOKUP(C932, 'Project Master'!A:B, 2, FALSE), "")</f>
        <v/>
      </c>
      <c r="F932" s="10" t="str">
        <f t="shared" si="1"/>
        <v/>
      </c>
    </row>
    <row r="933">
      <c r="A933" s="22"/>
      <c r="C933" s="10"/>
      <c r="D933" s="19" t="str">
        <f>IFERROR(VLOOKUP(C933, 'Project Master'!A:B, 2, FALSE), "")</f>
        <v/>
      </c>
      <c r="F933" s="10" t="str">
        <f t="shared" si="1"/>
        <v/>
      </c>
    </row>
    <row r="934">
      <c r="A934" s="22"/>
      <c r="C934" s="10"/>
      <c r="D934" s="19" t="str">
        <f>IFERROR(VLOOKUP(C934, 'Project Master'!A:B, 2, FALSE), "")</f>
        <v/>
      </c>
      <c r="F934" s="10" t="str">
        <f t="shared" si="1"/>
        <v/>
      </c>
    </row>
    <row r="935">
      <c r="A935" s="22"/>
      <c r="C935" s="10"/>
      <c r="D935" s="19" t="str">
        <f>IFERROR(VLOOKUP(C935, 'Project Master'!A:B, 2, FALSE), "")</f>
        <v/>
      </c>
      <c r="F935" s="10" t="str">
        <f t="shared" si="1"/>
        <v/>
      </c>
    </row>
    <row r="936">
      <c r="A936" s="22"/>
      <c r="C936" s="10"/>
      <c r="D936" s="19" t="str">
        <f>IFERROR(VLOOKUP(C936, 'Project Master'!A:B, 2, FALSE), "")</f>
        <v/>
      </c>
      <c r="F936" s="10" t="str">
        <f t="shared" si="1"/>
        <v/>
      </c>
    </row>
    <row r="937">
      <c r="A937" s="22"/>
      <c r="C937" s="10"/>
      <c r="D937" s="19" t="str">
        <f>IFERROR(VLOOKUP(C937, 'Project Master'!A:B, 2, FALSE), "")</f>
        <v/>
      </c>
      <c r="F937" s="10" t="str">
        <f t="shared" si="1"/>
        <v/>
      </c>
    </row>
    <row r="938">
      <c r="A938" s="22"/>
      <c r="C938" s="10"/>
      <c r="D938" s="19" t="str">
        <f>IFERROR(VLOOKUP(C938, 'Project Master'!A:B, 2, FALSE), "")</f>
        <v/>
      </c>
      <c r="F938" s="10" t="str">
        <f t="shared" si="1"/>
        <v/>
      </c>
    </row>
    <row r="939">
      <c r="A939" s="22"/>
      <c r="C939" s="10"/>
      <c r="D939" s="19" t="str">
        <f>IFERROR(VLOOKUP(C939, 'Project Master'!A:B, 2, FALSE), "")</f>
        <v/>
      </c>
      <c r="F939" s="10" t="str">
        <f t="shared" si="1"/>
        <v/>
      </c>
    </row>
    <row r="940">
      <c r="A940" s="22"/>
      <c r="C940" s="10"/>
      <c r="D940" s="19" t="str">
        <f>IFERROR(VLOOKUP(C940, 'Project Master'!A:B, 2, FALSE), "")</f>
        <v/>
      </c>
      <c r="F940" s="10" t="str">
        <f t="shared" si="1"/>
        <v/>
      </c>
    </row>
    <row r="941">
      <c r="A941" s="22"/>
      <c r="C941" s="10"/>
      <c r="D941" s="19" t="str">
        <f>IFERROR(VLOOKUP(C941, 'Project Master'!A:B, 2, FALSE), "")</f>
        <v/>
      </c>
      <c r="F941" s="10" t="str">
        <f t="shared" si="1"/>
        <v/>
      </c>
    </row>
    <row r="942">
      <c r="A942" s="22"/>
      <c r="C942" s="10"/>
      <c r="D942" s="19" t="str">
        <f>IFERROR(VLOOKUP(C942, 'Project Master'!A:B, 2, FALSE), "")</f>
        <v/>
      </c>
      <c r="F942" s="10" t="str">
        <f t="shared" si="1"/>
        <v/>
      </c>
    </row>
    <row r="943">
      <c r="A943" s="22"/>
      <c r="C943" s="10"/>
      <c r="D943" s="19" t="str">
        <f>IFERROR(VLOOKUP(C943, 'Project Master'!A:B, 2, FALSE), "")</f>
        <v/>
      </c>
      <c r="F943" s="10" t="str">
        <f t="shared" si="1"/>
        <v/>
      </c>
    </row>
    <row r="944">
      <c r="A944" s="22"/>
      <c r="C944" s="10"/>
      <c r="D944" s="19" t="str">
        <f>IFERROR(VLOOKUP(C944, 'Project Master'!A:B, 2, FALSE), "")</f>
        <v/>
      </c>
      <c r="F944" s="10" t="str">
        <f t="shared" si="1"/>
        <v/>
      </c>
    </row>
    <row r="945">
      <c r="A945" s="22"/>
      <c r="C945" s="10"/>
      <c r="D945" s="19" t="str">
        <f>IFERROR(VLOOKUP(C945, 'Project Master'!A:B, 2, FALSE), "")</f>
        <v/>
      </c>
      <c r="F945" s="10" t="str">
        <f t="shared" si="1"/>
        <v/>
      </c>
    </row>
    <row r="946">
      <c r="A946" s="22"/>
      <c r="C946" s="10"/>
      <c r="D946" s="19" t="str">
        <f>IFERROR(VLOOKUP(C946, 'Project Master'!A:B, 2, FALSE), "")</f>
        <v/>
      </c>
      <c r="F946" s="10" t="str">
        <f t="shared" si="1"/>
        <v/>
      </c>
    </row>
    <row r="947">
      <c r="A947" s="22"/>
      <c r="C947" s="10"/>
      <c r="D947" s="19" t="str">
        <f>IFERROR(VLOOKUP(C947, 'Project Master'!A:B, 2, FALSE), "")</f>
        <v/>
      </c>
      <c r="F947" s="10" t="str">
        <f t="shared" si="1"/>
        <v/>
      </c>
    </row>
    <row r="948">
      <c r="A948" s="22"/>
      <c r="C948" s="10"/>
      <c r="D948" s="19" t="str">
        <f>IFERROR(VLOOKUP(C948, 'Project Master'!A:B, 2, FALSE), "")</f>
        <v/>
      </c>
      <c r="F948" s="10" t="str">
        <f t="shared" si="1"/>
        <v/>
      </c>
    </row>
    <row r="949">
      <c r="A949" s="22"/>
      <c r="C949" s="10"/>
      <c r="D949" s="19" t="str">
        <f>IFERROR(VLOOKUP(C949, 'Project Master'!A:B, 2, FALSE), "")</f>
        <v/>
      </c>
      <c r="F949" s="10" t="str">
        <f t="shared" si="1"/>
        <v/>
      </c>
    </row>
    <row r="950">
      <c r="A950" s="22"/>
      <c r="C950" s="10"/>
      <c r="D950" s="19" t="str">
        <f>IFERROR(VLOOKUP(C950, 'Project Master'!A:B, 2, FALSE), "")</f>
        <v/>
      </c>
      <c r="F950" s="10" t="str">
        <f t="shared" si="1"/>
        <v/>
      </c>
    </row>
    <row r="951">
      <c r="A951" s="22"/>
      <c r="C951" s="10"/>
      <c r="D951" s="19" t="str">
        <f>IFERROR(VLOOKUP(C951, 'Project Master'!A:B, 2, FALSE), "")</f>
        <v/>
      </c>
      <c r="F951" s="10" t="str">
        <f t="shared" si="1"/>
        <v/>
      </c>
    </row>
    <row r="952">
      <c r="A952" s="22"/>
      <c r="C952" s="10"/>
      <c r="D952" s="19" t="str">
        <f>IFERROR(VLOOKUP(C952, 'Project Master'!A:B, 2, FALSE), "")</f>
        <v/>
      </c>
      <c r="F952" s="10" t="str">
        <f t="shared" si="1"/>
        <v/>
      </c>
    </row>
    <row r="953">
      <c r="A953" s="22"/>
      <c r="C953" s="10"/>
      <c r="D953" s="19" t="str">
        <f>IFERROR(VLOOKUP(C953, 'Project Master'!A:B, 2, FALSE), "")</f>
        <v/>
      </c>
      <c r="F953" s="10" t="str">
        <f t="shared" si="1"/>
        <v/>
      </c>
    </row>
    <row r="954">
      <c r="A954" s="22"/>
      <c r="C954" s="10"/>
      <c r="D954" s="19" t="str">
        <f>IFERROR(VLOOKUP(C954, 'Project Master'!A:B, 2, FALSE), "")</f>
        <v/>
      </c>
      <c r="F954" s="10" t="str">
        <f t="shared" si="1"/>
        <v/>
      </c>
    </row>
    <row r="955">
      <c r="A955" s="22"/>
      <c r="C955" s="10"/>
      <c r="D955" s="19" t="str">
        <f>IFERROR(VLOOKUP(C955, 'Project Master'!A:B, 2, FALSE), "")</f>
        <v/>
      </c>
      <c r="F955" s="10" t="str">
        <f t="shared" si="1"/>
        <v/>
      </c>
    </row>
    <row r="956">
      <c r="A956" s="22"/>
      <c r="C956" s="10"/>
      <c r="D956" s="19" t="str">
        <f>IFERROR(VLOOKUP(C956, 'Project Master'!A:B, 2, FALSE), "")</f>
        <v/>
      </c>
      <c r="F956" s="10" t="str">
        <f t="shared" si="1"/>
        <v/>
      </c>
    </row>
    <row r="957">
      <c r="A957" s="22"/>
      <c r="C957" s="10"/>
      <c r="D957" s="19" t="str">
        <f>IFERROR(VLOOKUP(C957, 'Project Master'!A:B, 2, FALSE), "")</f>
        <v/>
      </c>
      <c r="F957" s="10" t="str">
        <f t="shared" si="1"/>
        <v/>
      </c>
    </row>
    <row r="958">
      <c r="A958" s="22"/>
      <c r="C958" s="10"/>
      <c r="D958" s="19" t="str">
        <f>IFERROR(VLOOKUP(C958, 'Project Master'!A:B, 2, FALSE), "")</f>
        <v/>
      </c>
      <c r="F958" s="10" t="str">
        <f t="shared" si="1"/>
        <v/>
      </c>
    </row>
    <row r="959">
      <c r="A959" s="22"/>
      <c r="C959" s="10"/>
      <c r="D959" s="19" t="str">
        <f>IFERROR(VLOOKUP(C959, 'Project Master'!A:B, 2, FALSE), "")</f>
        <v/>
      </c>
      <c r="F959" s="10" t="str">
        <f t="shared" si="1"/>
        <v/>
      </c>
    </row>
    <row r="960">
      <c r="A960" s="22"/>
      <c r="C960" s="10"/>
      <c r="D960" s="19" t="str">
        <f>IFERROR(VLOOKUP(C960, 'Project Master'!A:B, 2, FALSE), "")</f>
        <v/>
      </c>
      <c r="F960" s="10" t="str">
        <f t="shared" si="1"/>
        <v/>
      </c>
    </row>
    <row r="961">
      <c r="A961" s="22"/>
      <c r="C961" s="10"/>
      <c r="D961" s="19" t="str">
        <f>IFERROR(VLOOKUP(C961, 'Project Master'!A:B, 2, FALSE), "")</f>
        <v/>
      </c>
      <c r="F961" s="10" t="str">
        <f t="shared" si="1"/>
        <v/>
      </c>
    </row>
    <row r="962">
      <c r="A962" s="22"/>
      <c r="C962" s="10"/>
      <c r="D962" s="19" t="str">
        <f>IFERROR(VLOOKUP(C962, 'Project Master'!A:B, 2, FALSE), "")</f>
        <v/>
      </c>
      <c r="F962" s="10" t="str">
        <f t="shared" si="1"/>
        <v/>
      </c>
    </row>
    <row r="963">
      <c r="A963" s="22"/>
      <c r="C963" s="10"/>
      <c r="D963" s="19" t="str">
        <f>IFERROR(VLOOKUP(C963, 'Project Master'!A:B, 2, FALSE), "")</f>
        <v/>
      </c>
      <c r="F963" s="10" t="str">
        <f t="shared" si="1"/>
        <v/>
      </c>
    </row>
    <row r="964">
      <c r="A964" s="22"/>
      <c r="C964" s="10"/>
      <c r="D964" s="19" t="str">
        <f>IFERROR(VLOOKUP(C964, 'Project Master'!A:B, 2, FALSE), "")</f>
        <v/>
      </c>
      <c r="F964" s="10" t="str">
        <f t="shared" si="1"/>
        <v/>
      </c>
    </row>
    <row r="965">
      <c r="A965" s="22"/>
      <c r="C965" s="10"/>
      <c r="D965" s="19" t="str">
        <f>IFERROR(VLOOKUP(C965, 'Project Master'!A:B, 2, FALSE), "")</f>
        <v/>
      </c>
      <c r="F965" s="10" t="str">
        <f t="shared" si="1"/>
        <v/>
      </c>
    </row>
    <row r="966">
      <c r="A966" s="22"/>
      <c r="C966" s="10"/>
      <c r="D966" s="19" t="str">
        <f>IFERROR(VLOOKUP(C966, 'Project Master'!A:B, 2, FALSE), "")</f>
        <v/>
      </c>
      <c r="F966" s="10" t="str">
        <f t="shared" si="1"/>
        <v/>
      </c>
    </row>
    <row r="967">
      <c r="A967" s="22"/>
      <c r="C967" s="10"/>
      <c r="D967" s="19" t="str">
        <f>IFERROR(VLOOKUP(C967, 'Project Master'!A:B, 2, FALSE), "")</f>
        <v/>
      </c>
      <c r="F967" s="10" t="str">
        <f t="shared" si="1"/>
        <v/>
      </c>
    </row>
    <row r="968">
      <c r="A968" s="22"/>
      <c r="C968" s="10"/>
      <c r="D968" s="19" t="str">
        <f>IFERROR(VLOOKUP(C968, 'Project Master'!A:B, 2, FALSE), "")</f>
        <v/>
      </c>
      <c r="F968" s="10" t="str">
        <f t="shared" si="1"/>
        <v/>
      </c>
    </row>
    <row r="969">
      <c r="A969" s="22"/>
      <c r="C969" s="10"/>
      <c r="D969" s="19" t="str">
        <f>IFERROR(VLOOKUP(C969, 'Project Master'!A:B, 2, FALSE), "")</f>
        <v/>
      </c>
      <c r="F969" s="10" t="str">
        <f t="shared" si="1"/>
        <v/>
      </c>
    </row>
    <row r="970">
      <c r="A970" s="22"/>
      <c r="C970" s="10"/>
      <c r="D970" s="19" t="str">
        <f>IFERROR(VLOOKUP(C970, 'Project Master'!A:B, 2, FALSE), "")</f>
        <v/>
      </c>
      <c r="F970" s="10" t="str">
        <f t="shared" si="1"/>
        <v/>
      </c>
    </row>
    <row r="971">
      <c r="A971" s="22"/>
      <c r="C971" s="10"/>
      <c r="D971" s="19" t="str">
        <f>IFERROR(VLOOKUP(C971, 'Project Master'!A:B, 2, FALSE), "")</f>
        <v/>
      </c>
      <c r="F971" s="10" t="str">
        <f t="shared" si="1"/>
        <v/>
      </c>
    </row>
    <row r="972">
      <c r="A972" s="22"/>
      <c r="C972" s="10"/>
      <c r="D972" s="19" t="str">
        <f>IFERROR(VLOOKUP(C972, 'Project Master'!A:B, 2, FALSE), "")</f>
        <v/>
      </c>
      <c r="F972" s="10" t="str">
        <f t="shared" si="1"/>
        <v/>
      </c>
    </row>
    <row r="973">
      <c r="A973" s="22"/>
      <c r="C973" s="10"/>
      <c r="D973" s="19" t="str">
        <f>IFERROR(VLOOKUP(C973, 'Project Master'!A:B, 2, FALSE), "")</f>
        <v/>
      </c>
      <c r="F973" s="10" t="str">
        <f t="shared" si="1"/>
        <v/>
      </c>
    </row>
    <row r="974">
      <c r="A974" s="22"/>
      <c r="C974" s="10"/>
      <c r="D974" s="19" t="str">
        <f>IFERROR(VLOOKUP(C974, 'Project Master'!A:B, 2, FALSE), "")</f>
        <v/>
      </c>
      <c r="F974" s="10" t="str">
        <f t="shared" si="1"/>
        <v/>
      </c>
    </row>
    <row r="975">
      <c r="A975" s="22"/>
      <c r="C975" s="10"/>
      <c r="D975" s="19" t="str">
        <f>IFERROR(VLOOKUP(C975, 'Project Master'!A:B, 2, FALSE), "")</f>
        <v/>
      </c>
      <c r="F975" s="10" t="str">
        <f t="shared" si="1"/>
        <v/>
      </c>
    </row>
    <row r="976">
      <c r="A976" s="22"/>
      <c r="C976" s="10"/>
      <c r="D976" s="19" t="str">
        <f>IFERROR(VLOOKUP(C976, 'Project Master'!A:B, 2, FALSE), "")</f>
        <v/>
      </c>
      <c r="F976" s="10" t="str">
        <f t="shared" si="1"/>
        <v/>
      </c>
    </row>
    <row r="977">
      <c r="A977" s="22"/>
      <c r="C977" s="10"/>
      <c r="D977" s="19" t="str">
        <f>IFERROR(VLOOKUP(C977, 'Project Master'!A:B, 2, FALSE), "")</f>
        <v/>
      </c>
      <c r="F977" s="10" t="str">
        <f t="shared" si="1"/>
        <v/>
      </c>
    </row>
    <row r="978">
      <c r="A978" s="22"/>
      <c r="C978" s="10"/>
      <c r="D978" s="19" t="str">
        <f>IFERROR(VLOOKUP(C978, 'Project Master'!A:B, 2, FALSE), "")</f>
        <v/>
      </c>
      <c r="F978" s="10" t="str">
        <f t="shared" si="1"/>
        <v/>
      </c>
    </row>
    <row r="979">
      <c r="A979" s="22"/>
      <c r="C979" s="10"/>
      <c r="D979" s="19" t="str">
        <f>IFERROR(VLOOKUP(C979, 'Project Master'!A:B, 2, FALSE), "")</f>
        <v/>
      </c>
      <c r="F979" s="10" t="str">
        <f t="shared" si="1"/>
        <v/>
      </c>
    </row>
    <row r="980">
      <c r="A980" s="22"/>
      <c r="C980" s="10"/>
      <c r="D980" s="19" t="str">
        <f>IFERROR(VLOOKUP(C980, 'Project Master'!A:B, 2, FALSE), "")</f>
        <v/>
      </c>
      <c r="F980" s="10" t="str">
        <f t="shared" si="1"/>
        <v/>
      </c>
    </row>
    <row r="981">
      <c r="A981" s="22"/>
      <c r="C981" s="10"/>
      <c r="D981" s="19" t="str">
        <f>IFERROR(VLOOKUP(C981, 'Project Master'!A:B, 2, FALSE), "")</f>
        <v/>
      </c>
      <c r="F981" s="10" t="str">
        <f t="shared" si="1"/>
        <v/>
      </c>
    </row>
    <row r="982">
      <c r="A982" s="22"/>
      <c r="C982" s="10"/>
      <c r="D982" s="19" t="str">
        <f>IFERROR(VLOOKUP(C982, 'Project Master'!A:B, 2, FALSE), "")</f>
        <v/>
      </c>
      <c r="F982" s="10" t="str">
        <f t="shared" si="1"/>
        <v/>
      </c>
    </row>
    <row r="983">
      <c r="A983" s="22"/>
      <c r="C983" s="10"/>
      <c r="D983" s="19" t="str">
        <f>IFERROR(VLOOKUP(C983, 'Project Master'!A:B, 2, FALSE), "")</f>
        <v/>
      </c>
      <c r="F983" s="10" t="str">
        <f t="shared" si="1"/>
        <v/>
      </c>
    </row>
    <row r="984">
      <c r="A984" s="22"/>
      <c r="C984" s="10"/>
      <c r="D984" s="19" t="str">
        <f>IFERROR(VLOOKUP(C984, 'Project Master'!A:B, 2, FALSE), "")</f>
        <v/>
      </c>
      <c r="F984" s="10" t="str">
        <f t="shared" si="1"/>
        <v/>
      </c>
    </row>
    <row r="985">
      <c r="A985" s="22"/>
      <c r="C985" s="10"/>
      <c r="D985" s="19" t="str">
        <f>IFERROR(VLOOKUP(C985, 'Project Master'!A:B, 2, FALSE), "")</f>
        <v/>
      </c>
      <c r="F985" s="10" t="str">
        <f t="shared" si="1"/>
        <v/>
      </c>
    </row>
    <row r="986">
      <c r="A986" s="22"/>
      <c r="C986" s="10"/>
      <c r="D986" s="19" t="str">
        <f>IFERROR(VLOOKUP(C986, 'Project Master'!A:B, 2, FALSE), "")</f>
        <v/>
      </c>
      <c r="F986" s="10" t="str">
        <f t="shared" si="1"/>
        <v/>
      </c>
    </row>
    <row r="987">
      <c r="A987" s="22"/>
      <c r="C987" s="10"/>
      <c r="D987" s="19" t="str">
        <f>IFERROR(VLOOKUP(C987, 'Project Master'!A:B, 2, FALSE), "")</f>
        <v/>
      </c>
      <c r="F987" s="10" t="str">
        <f t="shared" si="1"/>
        <v/>
      </c>
    </row>
    <row r="988">
      <c r="A988" s="22"/>
      <c r="C988" s="10"/>
      <c r="D988" s="19" t="str">
        <f>IFERROR(VLOOKUP(C988, 'Project Master'!A:B, 2, FALSE), "")</f>
        <v/>
      </c>
      <c r="F988" s="10" t="str">
        <f t="shared" si="1"/>
        <v/>
      </c>
    </row>
    <row r="989">
      <c r="A989" s="22"/>
      <c r="C989" s="10"/>
      <c r="D989" s="19" t="str">
        <f>IFERROR(VLOOKUP(C989, 'Project Master'!A:B, 2, FALSE), "")</f>
        <v/>
      </c>
      <c r="F989" s="10" t="str">
        <f t="shared" si="1"/>
        <v/>
      </c>
    </row>
    <row r="990">
      <c r="A990" s="22"/>
      <c r="C990" s="10"/>
      <c r="D990" s="19" t="str">
        <f>IFERROR(VLOOKUP(C990, 'Project Master'!A:B, 2, FALSE), "")</f>
        <v/>
      </c>
      <c r="F990" s="10" t="str">
        <f t="shared" si="1"/>
        <v/>
      </c>
    </row>
    <row r="991">
      <c r="A991" s="22"/>
      <c r="C991" s="10"/>
      <c r="D991" s="19" t="str">
        <f>IFERROR(VLOOKUP(C991, 'Project Master'!A:B, 2, FALSE), "")</f>
        <v/>
      </c>
      <c r="F991" s="10" t="str">
        <f t="shared" si="1"/>
        <v/>
      </c>
    </row>
    <row r="992">
      <c r="A992" s="22"/>
      <c r="C992" s="10"/>
      <c r="D992" s="19" t="str">
        <f>IFERROR(VLOOKUP(C992, 'Project Master'!A:B, 2, FALSE), "")</f>
        <v/>
      </c>
      <c r="F992" s="10" t="str">
        <f t="shared" si="1"/>
        <v/>
      </c>
    </row>
    <row r="993">
      <c r="A993" s="22"/>
      <c r="C993" s="10"/>
      <c r="D993" s="19" t="str">
        <f>IFERROR(VLOOKUP(C993, 'Project Master'!A:B, 2, FALSE), "")</f>
        <v/>
      </c>
      <c r="F993" s="10" t="str">
        <f t="shared" si="1"/>
        <v/>
      </c>
    </row>
    <row r="994">
      <c r="A994" s="22"/>
      <c r="C994" s="10"/>
      <c r="D994" s="19" t="str">
        <f>IFERROR(VLOOKUP(C994, 'Project Master'!A:B, 2, FALSE), "")</f>
        <v/>
      </c>
      <c r="F994" s="10" t="str">
        <f t="shared" si="1"/>
        <v/>
      </c>
    </row>
    <row r="995">
      <c r="A995" s="22"/>
      <c r="C995" s="10"/>
      <c r="D995" s="19" t="str">
        <f>IFERROR(VLOOKUP(C995, 'Project Master'!A:B, 2, FALSE), "")</f>
        <v/>
      </c>
      <c r="F995" s="10" t="str">
        <f t="shared" si="1"/>
        <v/>
      </c>
    </row>
    <row r="996">
      <c r="A996" s="22"/>
      <c r="C996" s="10"/>
      <c r="D996" s="19" t="str">
        <f>IFERROR(VLOOKUP(C996, 'Project Master'!A:B, 2, FALSE), "")</f>
        <v/>
      </c>
      <c r="F996" s="10" t="str">
        <f t="shared" si="1"/>
        <v/>
      </c>
    </row>
    <row r="997">
      <c r="A997" s="22"/>
      <c r="C997" s="10"/>
      <c r="D997" s="19" t="str">
        <f>IFERROR(VLOOKUP(C997, 'Project Master'!A:B, 2, FALSE), "")</f>
        <v/>
      </c>
      <c r="F997" s="10" t="str">
        <f t="shared" si="1"/>
        <v/>
      </c>
    </row>
    <row r="998">
      <c r="A998" s="22"/>
      <c r="C998" s="10"/>
      <c r="D998" s="19" t="str">
        <f>IFERROR(VLOOKUP(C998, 'Project Master'!A:B, 2, FALSE), "")</f>
        <v/>
      </c>
      <c r="F998" s="10" t="str">
        <f t="shared" si="1"/>
        <v/>
      </c>
    </row>
    <row r="999">
      <c r="A999" s="22"/>
      <c r="C999" s="10"/>
      <c r="D999" s="19" t="str">
        <f>IFERROR(VLOOKUP(C999, 'Project Master'!A:B, 2, FALSE), "")</f>
        <v/>
      </c>
      <c r="F999" s="10" t="str">
        <f t="shared" si="1"/>
        <v/>
      </c>
    </row>
    <row r="1000">
      <c r="A1000" s="22"/>
      <c r="C1000" s="10"/>
      <c r="D1000" s="19" t="str">
        <f>IFERROR(VLOOKUP(C1000, 'Project Master'!A:B, 2, FALSE), "")</f>
        <v/>
      </c>
      <c r="F1000" s="10" t="str">
        <f t="shared" si="1"/>
        <v/>
      </c>
    </row>
  </sheetData>
  <dataValidations>
    <dataValidation type="custom" allowBlank="1" showDropDown="1" showInputMessage="1" showErrorMessage="1" prompt="Please enter a valid date or select from the calendar." sqref="A2:A1000">
      <formula1>OR(NOT(ISERROR(DATEVALUE(A2))), AND(ISNUMBER(A2), LEFT(CELL("format", A2))="D"))</formula1>
    </dataValidation>
    <dataValidation type="list" allowBlank="1" showInputMessage="1" showErrorMessage="1" prompt="Please select a Project ID from the list." sqref="C2:C1000">
      <formula1>'Project Master'!$A$2:$A$100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7D32"/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</cols>
  <sheetData>
    <row r="1">
      <c r="A1" s="23" t="s">
        <v>36</v>
      </c>
      <c r="B1" s="23" t="s">
        <v>8</v>
      </c>
      <c r="C1" s="23" t="s">
        <v>43</v>
      </c>
      <c r="D1" s="23" t="s">
        <v>44</v>
      </c>
      <c r="E1" s="23" t="s">
        <v>45</v>
      </c>
      <c r="F1" s="23" t="s">
        <v>46</v>
      </c>
      <c r="G1" s="23" t="s">
        <v>47</v>
      </c>
    </row>
    <row r="2">
      <c r="A2" s="21">
        <v>45948.0</v>
      </c>
      <c r="B2" s="18" t="s">
        <v>31</v>
      </c>
      <c r="C2" s="18" t="str">
        <f>IFERROR(VLOOKUP(B2, 'Project Master'!A:B, 2, FALSE), "")</f>
        <v>Sareeta Prusty</v>
      </c>
      <c r="D2" s="16" t="s">
        <v>48</v>
      </c>
      <c r="E2" s="18" t="s">
        <v>49</v>
      </c>
      <c r="F2" s="24">
        <v>10000.0</v>
      </c>
      <c r="G2" s="18" t="s">
        <v>49</v>
      </c>
    </row>
    <row r="3">
      <c r="A3" s="21">
        <v>45951.0</v>
      </c>
      <c r="B3" s="18" t="s">
        <v>31</v>
      </c>
      <c r="C3" s="18" t="str">
        <f>IFERROR(VLOOKUP(B3, 'Project Master'!A:B, 2, FALSE), "")</f>
        <v>Sareeta Prusty</v>
      </c>
      <c r="D3" s="16" t="s">
        <v>50</v>
      </c>
      <c r="E3" s="18" t="s">
        <v>51</v>
      </c>
      <c r="F3" s="24">
        <v>190000.0</v>
      </c>
      <c r="G3" s="18" t="s">
        <v>52</v>
      </c>
    </row>
    <row r="4">
      <c r="A4" s="22"/>
      <c r="B4" s="10"/>
      <c r="C4" s="18" t="str">
        <f>IFERROR(VLOOKUP(B4, 'Project Master'!A:B, 2, FALSE), "")</f>
        <v/>
      </c>
      <c r="D4" s="10"/>
      <c r="E4" s="10"/>
      <c r="F4" s="25">
        <v>0.0</v>
      </c>
      <c r="G4" s="10"/>
    </row>
    <row r="5">
      <c r="A5" s="22"/>
      <c r="B5" s="10"/>
      <c r="C5" s="18" t="str">
        <f>IFERROR(VLOOKUP(B5, 'Project Master'!A:B, 2, FALSE), "")</f>
        <v/>
      </c>
      <c r="D5" s="10"/>
      <c r="E5" s="10"/>
      <c r="F5" s="25">
        <v>0.0</v>
      </c>
      <c r="G5" s="10"/>
    </row>
    <row r="6">
      <c r="A6" s="22"/>
      <c r="B6" s="10"/>
      <c r="C6" s="18" t="str">
        <f>IFERROR(VLOOKUP(B6, 'Project Master'!A:B, 2, FALSE), "")</f>
        <v/>
      </c>
      <c r="D6" s="10"/>
      <c r="E6" s="10"/>
      <c r="F6" s="25">
        <v>0.0</v>
      </c>
      <c r="G6" s="10"/>
    </row>
    <row r="7">
      <c r="A7" s="22"/>
      <c r="B7" s="10"/>
      <c r="C7" s="18" t="str">
        <f>IFERROR(VLOOKUP(B7, 'Project Master'!A:B, 2, FALSE), "")</f>
        <v/>
      </c>
      <c r="D7" s="10"/>
      <c r="E7" s="10"/>
      <c r="F7" s="25">
        <v>0.0</v>
      </c>
      <c r="G7" s="10"/>
    </row>
    <row r="8">
      <c r="A8" s="22"/>
      <c r="B8" s="10"/>
      <c r="C8" s="18" t="str">
        <f>IFERROR(VLOOKUP(B8, 'Project Master'!A:B, 2, FALSE), "")</f>
        <v/>
      </c>
      <c r="D8" s="10"/>
      <c r="E8" s="10"/>
      <c r="F8" s="25">
        <v>0.0</v>
      </c>
      <c r="G8" s="10"/>
    </row>
    <row r="9">
      <c r="A9" s="22"/>
      <c r="B9" s="10"/>
      <c r="C9" s="18" t="str">
        <f>IFERROR(VLOOKUP(B9, 'Project Master'!A:B, 2, FALSE), "")</f>
        <v/>
      </c>
      <c r="D9" s="10"/>
      <c r="E9" s="10"/>
      <c r="F9" s="25">
        <v>0.0</v>
      </c>
      <c r="G9" s="10"/>
    </row>
    <row r="10">
      <c r="A10" s="22"/>
      <c r="B10" s="10"/>
      <c r="C10" s="18" t="str">
        <f>IFERROR(VLOOKUP(B10, 'Project Master'!A:B, 2, FALSE), "")</f>
        <v/>
      </c>
      <c r="D10" s="10"/>
      <c r="E10" s="10"/>
      <c r="F10" s="25">
        <v>0.0</v>
      </c>
      <c r="G10" s="10"/>
    </row>
    <row r="11">
      <c r="A11" s="22"/>
      <c r="B11" s="10"/>
      <c r="C11" s="18" t="str">
        <f>IFERROR(VLOOKUP(B11, 'Project Master'!A:B, 2, FALSE), "")</f>
        <v/>
      </c>
      <c r="D11" s="10"/>
      <c r="E11" s="10"/>
      <c r="F11" s="25">
        <v>0.0</v>
      </c>
      <c r="G11" s="10"/>
    </row>
    <row r="12">
      <c r="A12" s="22"/>
      <c r="B12" s="10"/>
      <c r="C12" s="18" t="str">
        <f>IFERROR(VLOOKUP(B12, 'Project Master'!A:B, 2, FALSE), "")</f>
        <v/>
      </c>
      <c r="D12" s="10"/>
      <c r="E12" s="10"/>
      <c r="F12" s="25">
        <v>0.0</v>
      </c>
      <c r="G12" s="10"/>
    </row>
    <row r="13">
      <c r="A13" s="22"/>
      <c r="B13" s="10"/>
      <c r="C13" s="18" t="str">
        <f>IFERROR(VLOOKUP(B13, 'Project Master'!A:B, 2, FALSE), "")</f>
        <v/>
      </c>
      <c r="D13" s="10"/>
      <c r="E13" s="10"/>
      <c r="F13" s="25">
        <v>0.0</v>
      </c>
      <c r="G13" s="10"/>
    </row>
    <row r="14">
      <c r="A14" s="22"/>
      <c r="B14" s="10"/>
      <c r="C14" s="18" t="str">
        <f>IFERROR(VLOOKUP(B14, 'Project Master'!A:B, 2, FALSE), "")</f>
        <v/>
      </c>
      <c r="D14" s="10"/>
      <c r="E14" s="10"/>
      <c r="F14" s="25">
        <v>0.0</v>
      </c>
      <c r="G14" s="10"/>
    </row>
    <row r="15">
      <c r="A15" s="22"/>
      <c r="B15" s="10"/>
      <c r="C15" s="18" t="str">
        <f>IFERROR(VLOOKUP(B15, 'Project Master'!A:B, 2, FALSE), "")</f>
        <v/>
      </c>
      <c r="D15" s="10"/>
      <c r="E15" s="10"/>
      <c r="F15" s="25">
        <v>0.0</v>
      </c>
      <c r="G15" s="10"/>
    </row>
    <row r="16">
      <c r="A16" s="22"/>
      <c r="B16" s="10"/>
      <c r="C16" s="18" t="str">
        <f>IFERROR(VLOOKUP(B16, 'Project Master'!A:B, 2, FALSE), "")</f>
        <v/>
      </c>
      <c r="D16" s="10"/>
      <c r="E16" s="10"/>
      <c r="F16" s="25">
        <v>0.0</v>
      </c>
      <c r="G16" s="10"/>
    </row>
    <row r="17">
      <c r="A17" s="22"/>
      <c r="B17" s="10"/>
      <c r="C17" s="18" t="str">
        <f>IFERROR(VLOOKUP(B17, 'Project Master'!A:B, 2, FALSE), "")</f>
        <v/>
      </c>
      <c r="D17" s="10"/>
      <c r="E17" s="10"/>
      <c r="F17" s="25">
        <v>0.0</v>
      </c>
      <c r="G17" s="10"/>
    </row>
    <row r="18">
      <c r="A18" s="22"/>
      <c r="B18" s="10"/>
      <c r="C18" s="18" t="str">
        <f>IFERROR(VLOOKUP(B18, 'Project Master'!A:B, 2, FALSE), "")</f>
        <v/>
      </c>
      <c r="D18" s="10"/>
      <c r="E18" s="10"/>
      <c r="F18" s="25">
        <v>0.0</v>
      </c>
      <c r="G18" s="10"/>
    </row>
    <row r="19">
      <c r="A19" s="22"/>
      <c r="B19" s="10"/>
      <c r="C19" s="18" t="str">
        <f>IFERROR(VLOOKUP(B19, 'Project Master'!A:B, 2, FALSE), "")</f>
        <v/>
      </c>
      <c r="D19" s="10"/>
      <c r="E19" s="10"/>
      <c r="F19" s="25">
        <v>0.0</v>
      </c>
      <c r="G19" s="10"/>
    </row>
    <row r="20">
      <c r="A20" s="22"/>
      <c r="B20" s="10"/>
      <c r="C20" s="18" t="str">
        <f>IFERROR(VLOOKUP(B20, 'Project Master'!A:B, 2, FALSE), "")</f>
        <v/>
      </c>
      <c r="D20" s="10"/>
      <c r="E20" s="10"/>
      <c r="F20" s="25">
        <v>0.0</v>
      </c>
      <c r="G20" s="10"/>
    </row>
    <row r="21">
      <c r="A21" s="22"/>
      <c r="B21" s="10"/>
      <c r="C21" s="18" t="str">
        <f>IFERROR(VLOOKUP(B21, 'Project Master'!A:B, 2, FALSE), "")</f>
        <v/>
      </c>
      <c r="D21" s="10"/>
      <c r="E21" s="10"/>
      <c r="F21" s="25">
        <v>0.0</v>
      </c>
      <c r="G21" s="10"/>
    </row>
    <row r="22">
      <c r="A22" s="22"/>
      <c r="B22" s="10"/>
      <c r="C22" s="18" t="str">
        <f>IFERROR(VLOOKUP(B22, 'Project Master'!A:B, 2, FALSE), "")</f>
        <v/>
      </c>
      <c r="D22" s="10"/>
      <c r="E22" s="10"/>
      <c r="F22" s="25">
        <v>0.0</v>
      </c>
      <c r="G22" s="10"/>
    </row>
    <row r="23">
      <c r="A23" s="22"/>
      <c r="B23" s="10"/>
      <c r="C23" s="18" t="str">
        <f>IFERROR(VLOOKUP(B23, 'Project Master'!A:B, 2, FALSE), "")</f>
        <v/>
      </c>
      <c r="D23" s="10"/>
      <c r="E23" s="10"/>
      <c r="F23" s="25">
        <v>0.0</v>
      </c>
      <c r="G23" s="10"/>
    </row>
    <row r="24">
      <c r="A24" s="22"/>
      <c r="B24" s="10"/>
      <c r="C24" s="18" t="str">
        <f>IFERROR(VLOOKUP(B24, 'Project Master'!A:B, 2, FALSE), "")</f>
        <v/>
      </c>
      <c r="D24" s="10"/>
      <c r="E24" s="10"/>
      <c r="F24" s="25">
        <v>0.0</v>
      </c>
      <c r="G24" s="10"/>
    </row>
    <row r="25">
      <c r="A25" s="22"/>
      <c r="B25" s="10"/>
      <c r="C25" s="18" t="str">
        <f>IFERROR(VLOOKUP(B25, 'Project Master'!A:B, 2, FALSE), "")</f>
        <v/>
      </c>
      <c r="D25" s="10"/>
      <c r="E25" s="10"/>
      <c r="F25" s="25">
        <v>0.0</v>
      </c>
      <c r="G25" s="10"/>
    </row>
    <row r="26">
      <c r="A26" s="22"/>
      <c r="B26" s="10"/>
      <c r="C26" s="18" t="str">
        <f>IFERROR(VLOOKUP(B26, 'Project Master'!A:B, 2, FALSE), "")</f>
        <v/>
      </c>
      <c r="D26" s="10"/>
      <c r="E26" s="10"/>
      <c r="F26" s="25">
        <v>0.0</v>
      </c>
      <c r="G26" s="10"/>
    </row>
    <row r="27">
      <c r="A27" s="22"/>
      <c r="B27" s="10"/>
      <c r="C27" s="18" t="str">
        <f>IFERROR(VLOOKUP(B27, 'Project Master'!A:B, 2, FALSE), "")</f>
        <v/>
      </c>
      <c r="D27" s="10"/>
      <c r="E27" s="10"/>
      <c r="F27" s="25">
        <v>0.0</v>
      </c>
      <c r="G27" s="10"/>
    </row>
    <row r="28">
      <c r="A28" s="22"/>
      <c r="B28" s="10"/>
      <c r="C28" s="18" t="str">
        <f>IFERROR(VLOOKUP(B28, 'Project Master'!A:B, 2, FALSE), "")</f>
        <v/>
      </c>
      <c r="D28" s="10"/>
      <c r="E28" s="10"/>
      <c r="F28" s="25">
        <v>0.0</v>
      </c>
      <c r="G28" s="10"/>
    </row>
    <row r="29">
      <c r="A29" s="22"/>
      <c r="B29" s="10"/>
      <c r="C29" s="18" t="str">
        <f>IFERROR(VLOOKUP(B29, 'Project Master'!A:B, 2, FALSE), "")</f>
        <v/>
      </c>
      <c r="D29" s="10"/>
      <c r="E29" s="10"/>
      <c r="F29" s="25">
        <v>0.0</v>
      </c>
      <c r="G29" s="10"/>
    </row>
    <row r="30">
      <c r="A30" s="22"/>
      <c r="B30" s="10"/>
      <c r="C30" s="18" t="str">
        <f>IFERROR(VLOOKUP(B30, 'Project Master'!A:B, 2, FALSE), "")</f>
        <v/>
      </c>
      <c r="D30" s="10"/>
      <c r="E30" s="10"/>
      <c r="F30" s="25">
        <v>0.0</v>
      </c>
      <c r="G30" s="10"/>
    </row>
    <row r="31">
      <c r="A31" s="22"/>
      <c r="B31" s="10"/>
      <c r="C31" s="18" t="str">
        <f>IFERROR(VLOOKUP(B31, 'Project Master'!A:B, 2, FALSE), "")</f>
        <v/>
      </c>
      <c r="D31" s="10"/>
      <c r="E31" s="10"/>
      <c r="F31" s="25">
        <v>0.0</v>
      </c>
      <c r="G31" s="10"/>
    </row>
    <row r="32">
      <c r="A32" s="22"/>
      <c r="B32" s="10"/>
      <c r="C32" s="18" t="str">
        <f>IFERROR(VLOOKUP(B32, 'Project Master'!A:B, 2, FALSE), "")</f>
        <v/>
      </c>
      <c r="D32" s="10"/>
      <c r="E32" s="10"/>
      <c r="F32" s="25">
        <v>0.0</v>
      </c>
      <c r="G32" s="10"/>
    </row>
    <row r="33">
      <c r="A33" s="22"/>
      <c r="B33" s="10"/>
      <c r="C33" s="18" t="str">
        <f>IFERROR(VLOOKUP(B33, 'Project Master'!A:B, 2, FALSE), "")</f>
        <v/>
      </c>
      <c r="D33" s="10"/>
      <c r="E33" s="10"/>
      <c r="F33" s="25">
        <v>0.0</v>
      </c>
      <c r="G33" s="10"/>
    </row>
    <row r="34">
      <c r="A34" s="22"/>
      <c r="B34" s="10"/>
      <c r="C34" s="18" t="str">
        <f>IFERROR(VLOOKUP(B34, 'Project Master'!A:B, 2, FALSE), "")</f>
        <v/>
      </c>
      <c r="D34" s="10"/>
      <c r="E34" s="10"/>
      <c r="F34" s="25">
        <v>0.0</v>
      </c>
      <c r="G34" s="10"/>
    </row>
    <row r="35">
      <c r="A35" s="22"/>
      <c r="B35" s="10"/>
      <c r="C35" s="18" t="str">
        <f>IFERROR(VLOOKUP(B35, 'Project Master'!A:B, 2, FALSE), "")</f>
        <v/>
      </c>
      <c r="D35" s="10"/>
      <c r="E35" s="10"/>
      <c r="F35" s="25">
        <v>0.0</v>
      </c>
      <c r="G35" s="10"/>
    </row>
    <row r="36">
      <c r="A36" s="22"/>
      <c r="B36" s="10"/>
      <c r="C36" s="18" t="str">
        <f>IFERROR(VLOOKUP(B36, 'Project Master'!A:B, 2, FALSE), "")</f>
        <v/>
      </c>
      <c r="D36" s="10"/>
      <c r="E36" s="10"/>
      <c r="F36" s="25">
        <v>0.0</v>
      </c>
      <c r="G36" s="10"/>
    </row>
    <row r="37">
      <c r="A37" s="22"/>
      <c r="B37" s="10"/>
      <c r="C37" s="18" t="str">
        <f>IFERROR(VLOOKUP(B37, 'Project Master'!A:B, 2, FALSE), "")</f>
        <v/>
      </c>
      <c r="D37" s="10"/>
      <c r="E37" s="10"/>
      <c r="F37" s="25">
        <v>0.0</v>
      </c>
      <c r="G37" s="10"/>
    </row>
    <row r="38">
      <c r="A38" s="22"/>
      <c r="B38" s="10"/>
      <c r="C38" s="18" t="str">
        <f>IFERROR(VLOOKUP(B38, 'Project Master'!A:B, 2, FALSE), "")</f>
        <v/>
      </c>
      <c r="D38" s="10"/>
      <c r="E38" s="10"/>
      <c r="F38" s="25">
        <v>0.0</v>
      </c>
      <c r="G38" s="10"/>
    </row>
    <row r="39">
      <c r="A39" s="22"/>
      <c r="B39" s="10"/>
      <c r="C39" s="18" t="str">
        <f>IFERROR(VLOOKUP(B39, 'Project Master'!A:B, 2, FALSE), "")</f>
        <v/>
      </c>
      <c r="D39" s="10"/>
      <c r="E39" s="10"/>
      <c r="F39" s="25">
        <v>0.0</v>
      </c>
      <c r="G39" s="10"/>
    </row>
    <row r="40">
      <c r="A40" s="22"/>
      <c r="B40" s="10"/>
      <c r="C40" s="18" t="str">
        <f>IFERROR(VLOOKUP(B40, 'Project Master'!A:B, 2, FALSE), "")</f>
        <v/>
      </c>
      <c r="D40" s="10"/>
      <c r="E40" s="10"/>
      <c r="F40" s="25">
        <v>0.0</v>
      </c>
      <c r="G40" s="10"/>
    </row>
    <row r="41">
      <c r="A41" s="22"/>
      <c r="B41" s="10"/>
      <c r="C41" s="18" t="str">
        <f>IFERROR(VLOOKUP(B41, 'Project Master'!A:B, 2, FALSE), "")</f>
        <v/>
      </c>
      <c r="D41" s="10"/>
      <c r="E41" s="10"/>
      <c r="F41" s="25">
        <v>0.0</v>
      </c>
      <c r="G41" s="10"/>
    </row>
    <row r="42">
      <c r="A42" s="22"/>
      <c r="B42" s="10"/>
      <c r="C42" s="18" t="str">
        <f>IFERROR(VLOOKUP(B42, 'Project Master'!A:B, 2, FALSE), "")</f>
        <v/>
      </c>
      <c r="D42" s="10"/>
      <c r="E42" s="10"/>
      <c r="F42" s="25">
        <v>0.0</v>
      </c>
      <c r="G42" s="10"/>
    </row>
    <row r="43">
      <c r="A43" s="22"/>
      <c r="B43" s="10"/>
      <c r="C43" s="18" t="str">
        <f>IFERROR(VLOOKUP(B43, 'Project Master'!A:B, 2, FALSE), "")</f>
        <v/>
      </c>
      <c r="D43" s="10"/>
      <c r="E43" s="10"/>
      <c r="F43" s="25">
        <v>0.0</v>
      </c>
      <c r="G43" s="10"/>
    </row>
    <row r="44">
      <c r="A44" s="22"/>
      <c r="B44" s="10"/>
      <c r="C44" s="18" t="str">
        <f>IFERROR(VLOOKUP(B44, 'Project Master'!A:B, 2, FALSE), "")</f>
        <v/>
      </c>
      <c r="D44" s="10"/>
      <c r="E44" s="10"/>
      <c r="F44" s="25">
        <v>0.0</v>
      </c>
      <c r="G44" s="10"/>
    </row>
    <row r="45">
      <c r="A45" s="22"/>
      <c r="B45" s="10"/>
      <c r="C45" s="18" t="str">
        <f>IFERROR(VLOOKUP(B45, 'Project Master'!A:B, 2, FALSE), "")</f>
        <v/>
      </c>
      <c r="D45" s="10"/>
      <c r="E45" s="10"/>
      <c r="F45" s="25">
        <v>0.0</v>
      </c>
      <c r="G45" s="10"/>
    </row>
    <row r="46">
      <c r="A46" s="22"/>
      <c r="B46" s="10"/>
      <c r="C46" s="18" t="str">
        <f>IFERROR(VLOOKUP(B46, 'Project Master'!A:B, 2, FALSE), "")</f>
        <v/>
      </c>
      <c r="D46" s="10"/>
      <c r="E46" s="10"/>
      <c r="F46" s="25">
        <v>0.0</v>
      </c>
      <c r="G46" s="10"/>
    </row>
    <row r="47">
      <c r="A47" s="22"/>
      <c r="B47" s="10"/>
      <c r="C47" s="18" t="str">
        <f>IFERROR(VLOOKUP(B47, 'Project Master'!A:B, 2, FALSE), "")</f>
        <v/>
      </c>
      <c r="D47" s="10"/>
      <c r="E47" s="10"/>
      <c r="F47" s="25">
        <v>0.0</v>
      </c>
      <c r="G47" s="10"/>
    </row>
    <row r="48">
      <c r="A48" s="22"/>
      <c r="B48" s="10"/>
      <c r="C48" s="18" t="str">
        <f>IFERROR(VLOOKUP(B48, 'Project Master'!A:B, 2, FALSE), "")</f>
        <v/>
      </c>
      <c r="D48" s="10"/>
      <c r="E48" s="10"/>
      <c r="F48" s="25">
        <v>0.0</v>
      </c>
      <c r="G48" s="10"/>
    </row>
    <row r="49">
      <c r="A49" s="22"/>
      <c r="B49" s="10"/>
      <c r="C49" s="18" t="str">
        <f>IFERROR(VLOOKUP(B49, 'Project Master'!A:B, 2, FALSE), "")</f>
        <v/>
      </c>
      <c r="D49" s="10"/>
      <c r="E49" s="10"/>
      <c r="F49" s="25">
        <v>0.0</v>
      </c>
      <c r="G49" s="10"/>
    </row>
    <row r="50">
      <c r="A50" s="22"/>
      <c r="B50" s="10"/>
      <c r="C50" s="18" t="str">
        <f>IFERROR(VLOOKUP(B50, 'Project Master'!A:B, 2, FALSE), "")</f>
        <v/>
      </c>
      <c r="D50" s="10"/>
      <c r="E50" s="10"/>
      <c r="F50" s="25">
        <v>0.0</v>
      </c>
      <c r="G50" s="10"/>
    </row>
    <row r="51">
      <c r="A51" s="22"/>
      <c r="B51" s="10"/>
      <c r="C51" s="18" t="str">
        <f>IFERROR(VLOOKUP(B51, 'Project Master'!A:B, 2, FALSE), "")</f>
        <v/>
      </c>
      <c r="D51" s="10"/>
      <c r="E51" s="10"/>
      <c r="F51" s="25">
        <v>0.0</v>
      </c>
      <c r="G51" s="10"/>
    </row>
    <row r="52">
      <c r="A52" s="22"/>
      <c r="B52" s="10"/>
      <c r="C52" s="18" t="str">
        <f>IFERROR(VLOOKUP(B52, 'Project Master'!A:B, 2, FALSE), "")</f>
        <v/>
      </c>
      <c r="D52" s="10"/>
      <c r="E52" s="10"/>
      <c r="F52" s="25">
        <v>0.0</v>
      </c>
      <c r="G52" s="10"/>
    </row>
    <row r="53">
      <c r="A53" s="22"/>
      <c r="B53" s="10"/>
      <c r="C53" s="18" t="str">
        <f>IFERROR(VLOOKUP(B53, 'Project Master'!A:B, 2, FALSE), "")</f>
        <v/>
      </c>
      <c r="D53" s="10"/>
      <c r="E53" s="10"/>
      <c r="F53" s="25">
        <v>0.0</v>
      </c>
      <c r="G53" s="10"/>
    </row>
    <row r="54">
      <c r="A54" s="22"/>
      <c r="B54" s="10"/>
      <c r="C54" s="18" t="str">
        <f>IFERROR(VLOOKUP(B54, 'Project Master'!A:B, 2, FALSE), "")</f>
        <v/>
      </c>
      <c r="D54" s="10"/>
      <c r="E54" s="10"/>
      <c r="F54" s="25">
        <v>0.0</v>
      </c>
      <c r="G54" s="10"/>
    </row>
    <row r="55">
      <c r="A55" s="22"/>
      <c r="B55" s="10"/>
      <c r="C55" s="18" t="str">
        <f>IFERROR(VLOOKUP(B55, 'Project Master'!A:B, 2, FALSE), "")</f>
        <v/>
      </c>
      <c r="D55" s="10"/>
      <c r="E55" s="10"/>
      <c r="F55" s="25">
        <v>0.0</v>
      </c>
      <c r="G55" s="10"/>
    </row>
    <row r="56">
      <c r="A56" s="22"/>
      <c r="B56" s="10"/>
      <c r="C56" s="18" t="str">
        <f>IFERROR(VLOOKUP(B56, 'Project Master'!A:B, 2, FALSE), "")</f>
        <v/>
      </c>
      <c r="D56" s="10"/>
      <c r="E56" s="10"/>
      <c r="F56" s="25">
        <v>0.0</v>
      </c>
      <c r="G56" s="10"/>
    </row>
    <row r="57">
      <c r="A57" s="22"/>
      <c r="B57" s="10"/>
      <c r="C57" s="18" t="str">
        <f>IFERROR(VLOOKUP(B57, 'Project Master'!A:B, 2, FALSE), "")</f>
        <v/>
      </c>
      <c r="D57" s="10"/>
      <c r="E57" s="10"/>
      <c r="F57" s="25">
        <v>0.0</v>
      </c>
      <c r="G57" s="10"/>
    </row>
    <row r="58">
      <c r="A58" s="22"/>
      <c r="B58" s="10"/>
      <c r="C58" s="18" t="str">
        <f>IFERROR(VLOOKUP(B58, 'Project Master'!A:B, 2, FALSE), "")</f>
        <v/>
      </c>
      <c r="D58" s="10"/>
      <c r="E58" s="10"/>
      <c r="F58" s="25">
        <v>0.0</v>
      </c>
      <c r="G58" s="10"/>
    </row>
    <row r="59">
      <c r="A59" s="22"/>
      <c r="B59" s="10"/>
      <c r="C59" s="18" t="str">
        <f>IFERROR(VLOOKUP(B59, 'Project Master'!A:B, 2, FALSE), "")</f>
        <v/>
      </c>
      <c r="D59" s="10"/>
      <c r="E59" s="10"/>
      <c r="F59" s="25">
        <v>0.0</v>
      </c>
      <c r="G59" s="10"/>
    </row>
    <row r="60">
      <c r="A60" s="22"/>
      <c r="B60" s="10"/>
      <c r="C60" s="18" t="str">
        <f>IFERROR(VLOOKUP(B60, 'Project Master'!A:B, 2, FALSE), "")</f>
        <v/>
      </c>
      <c r="D60" s="10"/>
      <c r="E60" s="10"/>
      <c r="F60" s="25">
        <v>0.0</v>
      </c>
      <c r="G60" s="10"/>
    </row>
    <row r="61">
      <c r="A61" s="22"/>
      <c r="B61" s="10"/>
      <c r="C61" s="18" t="str">
        <f>IFERROR(VLOOKUP(B61, 'Project Master'!A:B, 2, FALSE), "")</f>
        <v/>
      </c>
      <c r="D61" s="10"/>
      <c r="E61" s="10"/>
      <c r="F61" s="25">
        <v>0.0</v>
      </c>
      <c r="G61" s="10"/>
    </row>
    <row r="62">
      <c r="A62" s="22"/>
      <c r="B62" s="10"/>
      <c r="C62" s="18" t="str">
        <f>IFERROR(VLOOKUP(B62, 'Project Master'!A:B, 2, FALSE), "")</f>
        <v/>
      </c>
      <c r="D62" s="10"/>
      <c r="E62" s="10"/>
      <c r="F62" s="25">
        <v>0.0</v>
      </c>
      <c r="G62" s="10"/>
    </row>
    <row r="63">
      <c r="A63" s="22"/>
      <c r="B63" s="10"/>
      <c r="C63" s="18" t="str">
        <f>IFERROR(VLOOKUP(B63, 'Project Master'!A:B, 2, FALSE), "")</f>
        <v/>
      </c>
      <c r="D63" s="10"/>
      <c r="E63" s="10"/>
      <c r="F63" s="25">
        <v>0.0</v>
      </c>
      <c r="G63" s="10"/>
    </row>
    <row r="64">
      <c r="A64" s="22"/>
      <c r="B64" s="10"/>
      <c r="C64" s="18" t="str">
        <f>IFERROR(VLOOKUP(B64, 'Project Master'!A:B, 2, FALSE), "")</f>
        <v/>
      </c>
      <c r="D64" s="10"/>
      <c r="E64" s="10"/>
      <c r="F64" s="25">
        <v>0.0</v>
      </c>
      <c r="G64" s="10"/>
    </row>
    <row r="65">
      <c r="A65" s="22"/>
      <c r="B65" s="10"/>
      <c r="C65" s="18" t="str">
        <f>IFERROR(VLOOKUP(B65, 'Project Master'!A:B, 2, FALSE), "")</f>
        <v/>
      </c>
      <c r="D65" s="10"/>
      <c r="E65" s="10"/>
      <c r="F65" s="25">
        <v>0.0</v>
      </c>
      <c r="G65" s="10"/>
    </row>
    <row r="66">
      <c r="A66" s="22"/>
      <c r="B66" s="10"/>
      <c r="C66" s="18" t="str">
        <f>IFERROR(VLOOKUP(B66, 'Project Master'!A:B, 2, FALSE), "")</f>
        <v/>
      </c>
      <c r="D66" s="10"/>
      <c r="E66" s="10"/>
      <c r="F66" s="25">
        <v>0.0</v>
      </c>
      <c r="G66" s="10"/>
    </row>
    <row r="67">
      <c r="A67" s="22"/>
      <c r="B67" s="10"/>
      <c r="C67" s="18" t="str">
        <f>IFERROR(VLOOKUP(B67, 'Project Master'!A:B, 2, FALSE), "")</f>
        <v/>
      </c>
      <c r="D67" s="10"/>
      <c r="E67" s="10"/>
      <c r="F67" s="25">
        <v>0.0</v>
      </c>
      <c r="G67" s="10"/>
    </row>
    <row r="68">
      <c r="A68" s="22"/>
      <c r="B68" s="10"/>
      <c r="C68" s="18" t="str">
        <f>IFERROR(VLOOKUP(B68, 'Project Master'!A:B, 2, FALSE), "")</f>
        <v/>
      </c>
      <c r="D68" s="10"/>
      <c r="E68" s="10"/>
      <c r="F68" s="25">
        <v>0.0</v>
      </c>
      <c r="G68" s="10"/>
    </row>
    <row r="69">
      <c r="A69" s="22"/>
      <c r="B69" s="10"/>
      <c r="C69" s="18" t="str">
        <f>IFERROR(VLOOKUP(B69, 'Project Master'!A:B, 2, FALSE), "")</f>
        <v/>
      </c>
      <c r="D69" s="10"/>
      <c r="E69" s="10"/>
      <c r="F69" s="25">
        <v>0.0</v>
      </c>
      <c r="G69" s="10"/>
    </row>
    <row r="70">
      <c r="A70" s="22"/>
      <c r="B70" s="10"/>
      <c r="C70" s="18" t="str">
        <f>IFERROR(VLOOKUP(B70, 'Project Master'!A:B, 2, FALSE), "")</f>
        <v/>
      </c>
      <c r="D70" s="10"/>
      <c r="E70" s="10"/>
      <c r="F70" s="25">
        <v>0.0</v>
      </c>
      <c r="G70" s="10"/>
    </row>
    <row r="71">
      <c r="A71" s="22"/>
      <c r="B71" s="10"/>
      <c r="C71" s="18" t="str">
        <f>IFERROR(VLOOKUP(B71, 'Project Master'!A:B, 2, FALSE), "")</f>
        <v/>
      </c>
      <c r="D71" s="10"/>
      <c r="E71" s="10"/>
      <c r="F71" s="25">
        <v>0.0</v>
      </c>
      <c r="G71" s="10"/>
    </row>
    <row r="72">
      <c r="A72" s="22"/>
      <c r="B72" s="10"/>
      <c r="C72" s="18" t="str">
        <f>IFERROR(VLOOKUP(B72, 'Project Master'!A:B, 2, FALSE), "")</f>
        <v/>
      </c>
      <c r="D72" s="10"/>
      <c r="E72" s="10"/>
      <c r="F72" s="25">
        <v>0.0</v>
      </c>
      <c r="G72" s="10"/>
    </row>
    <row r="73">
      <c r="A73" s="22"/>
      <c r="B73" s="10"/>
      <c r="C73" s="18" t="str">
        <f>IFERROR(VLOOKUP(B73, 'Project Master'!A:B, 2, FALSE), "")</f>
        <v/>
      </c>
      <c r="D73" s="10"/>
      <c r="E73" s="10"/>
      <c r="F73" s="25">
        <v>0.0</v>
      </c>
      <c r="G73" s="10"/>
    </row>
    <row r="74">
      <c r="A74" s="22"/>
      <c r="B74" s="10"/>
      <c r="C74" s="18" t="str">
        <f>IFERROR(VLOOKUP(B74, 'Project Master'!A:B, 2, FALSE), "")</f>
        <v/>
      </c>
      <c r="D74" s="10"/>
      <c r="E74" s="10"/>
      <c r="F74" s="25">
        <v>0.0</v>
      </c>
      <c r="G74" s="10"/>
    </row>
    <row r="75">
      <c r="A75" s="22"/>
      <c r="B75" s="10"/>
      <c r="C75" s="18" t="str">
        <f>IFERROR(VLOOKUP(B75, 'Project Master'!A:B, 2, FALSE), "")</f>
        <v/>
      </c>
      <c r="D75" s="10"/>
      <c r="E75" s="10"/>
      <c r="F75" s="25">
        <v>0.0</v>
      </c>
      <c r="G75" s="10"/>
    </row>
    <row r="76">
      <c r="A76" s="22"/>
      <c r="B76" s="10"/>
      <c r="C76" s="18" t="str">
        <f>IFERROR(VLOOKUP(B76, 'Project Master'!A:B, 2, FALSE), "")</f>
        <v/>
      </c>
      <c r="D76" s="10"/>
      <c r="E76" s="10"/>
      <c r="F76" s="25">
        <v>0.0</v>
      </c>
      <c r="G76" s="10"/>
    </row>
    <row r="77">
      <c r="A77" s="22"/>
      <c r="B77" s="10"/>
      <c r="C77" s="18" t="str">
        <f>IFERROR(VLOOKUP(B77, 'Project Master'!A:B, 2, FALSE), "")</f>
        <v/>
      </c>
      <c r="D77" s="10"/>
      <c r="E77" s="10"/>
      <c r="F77" s="25">
        <v>0.0</v>
      </c>
      <c r="G77" s="10"/>
    </row>
    <row r="78">
      <c r="A78" s="22"/>
      <c r="B78" s="10"/>
      <c r="C78" s="18" t="str">
        <f>IFERROR(VLOOKUP(B78, 'Project Master'!A:B, 2, FALSE), "")</f>
        <v/>
      </c>
      <c r="D78" s="10"/>
      <c r="E78" s="10"/>
      <c r="F78" s="25">
        <v>0.0</v>
      </c>
      <c r="G78" s="10"/>
    </row>
    <row r="79">
      <c r="A79" s="22"/>
      <c r="B79" s="10"/>
      <c r="C79" s="18" t="str">
        <f>IFERROR(VLOOKUP(B79, 'Project Master'!A:B, 2, FALSE), "")</f>
        <v/>
      </c>
      <c r="D79" s="10"/>
      <c r="E79" s="10"/>
      <c r="F79" s="25">
        <v>0.0</v>
      </c>
      <c r="G79" s="10"/>
    </row>
    <row r="80">
      <c r="A80" s="22"/>
      <c r="B80" s="10"/>
      <c r="C80" s="18" t="str">
        <f>IFERROR(VLOOKUP(B80, 'Project Master'!A:B, 2, FALSE), "")</f>
        <v/>
      </c>
      <c r="D80" s="10"/>
      <c r="E80" s="10"/>
      <c r="F80" s="25">
        <v>0.0</v>
      </c>
      <c r="G80" s="10"/>
    </row>
    <row r="81">
      <c r="A81" s="22"/>
      <c r="B81" s="10"/>
      <c r="C81" s="18" t="str">
        <f>IFERROR(VLOOKUP(B81, 'Project Master'!A:B, 2, FALSE), "")</f>
        <v/>
      </c>
      <c r="D81" s="10"/>
      <c r="E81" s="10"/>
      <c r="F81" s="25">
        <v>0.0</v>
      </c>
      <c r="G81" s="10"/>
    </row>
    <row r="82">
      <c r="A82" s="22"/>
      <c r="B82" s="10"/>
      <c r="C82" s="18" t="str">
        <f>IFERROR(VLOOKUP(B82, 'Project Master'!A:B, 2, FALSE), "")</f>
        <v/>
      </c>
      <c r="D82" s="10"/>
      <c r="E82" s="10"/>
      <c r="F82" s="25">
        <v>0.0</v>
      </c>
      <c r="G82" s="10"/>
    </row>
    <row r="83">
      <c r="A83" s="22"/>
      <c r="B83" s="10"/>
      <c r="C83" s="18" t="str">
        <f>IFERROR(VLOOKUP(B83, 'Project Master'!A:B, 2, FALSE), "")</f>
        <v/>
      </c>
      <c r="D83" s="10"/>
      <c r="E83" s="10"/>
      <c r="F83" s="25">
        <v>0.0</v>
      </c>
      <c r="G83" s="10"/>
    </row>
    <row r="84">
      <c r="A84" s="22"/>
      <c r="B84" s="10"/>
      <c r="C84" s="18" t="str">
        <f>IFERROR(VLOOKUP(B84, 'Project Master'!A:B, 2, FALSE), "")</f>
        <v/>
      </c>
      <c r="D84" s="10"/>
      <c r="E84" s="10"/>
      <c r="F84" s="25">
        <v>0.0</v>
      </c>
      <c r="G84" s="10"/>
    </row>
    <row r="85">
      <c r="A85" s="22"/>
      <c r="B85" s="10"/>
      <c r="C85" s="18" t="str">
        <f>IFERROR(VLOOKUP(B85, 'Project Master'!A:B, 2, FALSE), "")</f>
        <v/>
      </c>
      <c r="D85" s="10"/>
      <c r="E85" s="10"/>
      <c r="F85" s="25">
        <v>0.0</v>
      </c>
      <c r="G85" s="10"/>
    </row>
    <row r="86">
      <c r="A86" s="22"/>
      <c r="B86" s="10"/>
      <c r="C86" s="18" t="str">
        <f>IFERROR(VLOOKUP(B86, 'Project Master'!A:B, 2, FALSE), "")</f>
        <v/>
      </c>
      <c r="D86" s="10"/>
      <c r="E86" s="10"/>
      <c r="F86" s="25">
        <v>0.0</v>
      </c>
      <c r="G86" s="10"/>
    </row>
    <row r="87">
      <c r="A87" s="22"/>
      <c r="B87" s="10"/>
      <c r="C87" s="18" t="str">
        <f>IFERROR(VLOOKUP(B87, 'Project Master'!A:B, 2, FALSE), "")</f>
        <v/>
      </c>
      <c r="D87" s="10"/>
      <c r="E87" s="10"/>
      <c r="F87" s="25">
        <v>0.0</v>
      </c>
      <c r="G87" s="10"/>
    </row>
    <row r="88">
      <c r="A88" s="22"/>
      <c r="B88" s="10"/>
      <c r="C88" s="18" t="str">
        <f>IFERROR(VLOOKUP(B88, 'Project Master'!A:B, 2, FALSE), "")</f>
        <v/>
      </c>
      <c r="D88" s="10"/>
      <c r="E88" s="10"/>
      <c r="F88" s="25">
        <v>0.0</v>
      </c>
      <c r="G88" s="10"/>
    </row>
    <row r="89">
      <c r="A89" s="22"/>
      <c r="B89" s="10"/>
      <c r="C89" s="18" t="str">
        <f>IFERROR(VLOOKUP(B89, 'Project Master'!A:B, 2, FALSE), "")</f>
        <v/>
      </c>
      <c r="D89" s="10"/>
      <c r="E89" s="10"/>
      <c r="F89" s="25">
        <v>0.0</v>
      </c>
      <c r="G89" s="10"/>
    </row>
    <row r="90">
      <c r="A90" s="22"/>
      <c r="B90" s="10"/>
      <c r="C90" s="18" t="str">
        <f>IFERROR(VLOOKUP(B90, 'Project Master'!A:B, 2, FALSE), "")</f>
        <v/>
      </c>
      <c r="D90" s="10"/>
      <c r="E90" s="10"/>
      <c r="F90" s="25">
        <v>0.0</v>
      </c>
      <c r="G90" s="10"/>
    </row>
    <row r="91">
      <c r="A91" s="22"/>
      <c r="B91" s="10"/>
      <c r="C91" s="18" t="str">
        <f>IFERROR(VLOOKUP(B91, 'Project Master'!A:B, 2, FALSE), "")</f>
        <v/>
      </c>
      <c r="D91" s="10"/>
      <c r="E91" s="10"/>
      <c r="F91" s="25">
        <v>0.0</v>
      </c>
      <c r="G91" s="10"/>
    </row>
    <row r="92">
      <c r="A92" s="22"/>
      <c r="B92" s="10"/>
      <c r="C92" s="18" t="str">
        <f>IFERROR(VLOOKUP(B92, 'Project Master'!A:B, 2, FALSE), "")</f>
        <v/>
      </c>
      <c r="D92" s="10"/>
      <c r="E92" s="10"/>
      <c r="F92" s="25">
        <v>0.0</v>
      </c>
      <c r="G92" s="10"/>
    </row>
    <row r="93">
      <c r="A93" s="22"/>
      <c r="B93" s="10"/>
      <c r="C93" s="18" t="str">
        <f>IFERROR(VLOOKUP(B93, 'Project Master'!A:B, 2, FALSE), "")</f>
        <v/>
      </c>
      <c r="D93" s="10"/>
      <c r="E93" s="10"/>
      <c r="F93" s="25">
        <v>0.0</v>
      </c>
      <c r="G93" s="10"/>
    </row>
    <row r="94">
      <c r="A94" s="22"/>
      <c r="B94" s="10"/>
      <c r="C94" s="18" t="str">
        <f>IFERROR(VLOOKUP(B94, 'Project Master'!A:B, 2, FALSE), "")</f>
        <v/>
      </c>
      <c r="D94" s="10"/>
      <c r="E94" s="10"/>
      <c r="F94" s="25">
        <v>0.0</v>
      </c>
      <c r="G94" s="10"/>
    </row>
    <row r="95">
      <c r="A95" s="22"/>
      <c r="B95" s="10"/>
      <c r="C95" s="18" t="str">
        <f>IFERROR(VLOOKUP(B95, 'Project Master'!A:B, 2, FALSE), "")</f>
        <v/>
      </c>
      <c r="D95" s="10"/>
      <c r="E95" s="10"/>
      <c r="F95" s="25">
        <v>0.0</v>
      </c>
      <c r="G95" s="10"/>
    </row>
    <row r="96">
      <c r="A96" s="22"/>
      <c r="B96" s="10"/>
      <c r="C96" s="18" t="str">
        <f>IFERROR(VLOOKUP(B96, 'Project Master'!A:B, 2, FALSE), "")</f>
        <v/>
      </c>
      <c r="D96" s="10"/>
      <c r="E96" s="10"/>
      <c r="F96" s="25">
        <v>0.0</v>
      </c>
      <c r="G96" s="10"/>
    </row>
    <row r="97">
      <c r="A97" s="22"/>
      <c r="B97" s="10"/>
      <c r="C97" s="18" t="str">
        <f>IFERROR(VLOOKUP(B97, 'Project Master'!A:B, 2, FALSE), "")</f>
        <v/>
      </c>
      <c r="D97" s="10"/>
      <c r="E97" s="10"/>
      <c r="F97" s="25">
        <v>0.0</v>
      </c>
      <c r="G97" s="10"/>
    </row>
    <row r="98">
      <c r="A98" s="22"/>
      <c r="B98" s="10"/>
      <c r="C98" s="18" t="str">
        <f>IFERROR(VLOOKUP(B98, 'Project Master'!A:B, 2, FALSE), "")</f>
        <v/>
      </c>
      <c r="D98" s="10"/>
      <c r="E98" s="10"/>
      <c r="F98" s="25">
        <v>0.0</v>
      </c>
      <c r="G98" s="10"/>
    </row>
    <row r="99">
      <c r="A99" s="22"/>
      <c r="B99" s="10"/>
      <c r="C99" s="18" t="str">
        <f>IFERROR(VLOOKUP(B99, 'Project Master'!A:B, 2, FALSE), "")</f>
        <v/>
      </c>
      <c r="D99" s="10"/>
      <c r="E99" s="10"/>
      <c r="F99" s="25">
        <v>0.0</v>
      </c>
      <c r="G99" s="10"/>
    </row>
    <row r="100">
      <c r="A100" s="22"/>
      <c r="B100" s="10"/>
      <c r="C100" s="18" t="str">
        <f>IFERROR(VLOOKUP(B100, 'Project Master'!A:B, 2, FALSE), "")</f>
        <v/>
      </c>
      <c r="D100" s="10"/>
      <c r="E100" s="10"/>
      <c r="F100" s="25">
        <v>0.0</v>
      </c>
      <c r="G100" s="10"/>
    </row>
    <row r="101">
      <c r="A101" s="22"/>
      <c r="B101" s="10"/>
      <c r="C101" s="18" t="str">
        <f>IFERROR(VLOOKUP(B101, 'Project Master'!A:B, 2, FALSE), "")</f>
        <v/>
      </c>
      <c r="D101" s="10"/>
      <c r="E101" s="10"/>
      <c r="F101" s="25">
        <v>0.0</v>
      </c>
      <c r="G101" s="10"/>
    </row>
    <row r="102">
      <c r="A102" s="22"/>
      <c r="B102" s="10"/>
      <c r="C102" s="18" t="str">
        <f>IFERROR(VLOOKUP(B102, 'Project Master'!A:B, 2, FALSE), "")</f>
        <v/>
      </c>
      <c r="D102" s="10"/>
      <c r="E102" s="10"/>
      <c r="F102" s="25">
        <v>0.0</v>
      </c>
      <c r="G102" s="10"/>
    </row>
    <row r="103">
      <c r="A103" s="22"/>
      <c r="B103" s="10"/>
      <c r="C103" s="18" t="str">
        <f>IFERROR(VLOOKUP(B103, 'Project Master'!A:B, 2, FALSE), "")</f>
        <v/>
      </c>
      <c r="D103" s="10"/>
      <c r="E103" s="10"/>
      <c r="F103" s="25">
        <v>0.0</v>
      </c>
      <c r="G103" s="10"/>
    </row>
    <row r="104">
      <c r="A104" s="22"/>
      <c r="B104" s="10"/>
      <c r="C104" s="18" t="str">
        <f>IFERROR(VLOOKUP(B104, 'Project Master'!A:B, 2, FALSE), "")</f>
        <v/>
      </c>
      <c r="D104" s="10"/>
      <c r="E104" s="10"/>
      <c r="F104" s="25">
        <v>0.0</v>
      </c>
      <c r="G104" s="10"/>
    </row>
    <row r="105">
      <c r="A105" s="22"/>
      <c r="B105" s="10"/>
      <c r="C105" s="18" t="str">
        <f>IFERROR(VLOOKUP(B105, 'Project Master'!A:B, 2, FALSE), "")</f>
        <v/>
      </c>
      <c r="D105" s="10"/>
      <c r="E105" s="10"/>
      <c r="F105" s="25">
        <v>0.0</v>
      </c>
      <c r="G105" s="10"/>
    </row>
    <row r="106">
      <c r="A106" s="22"/>
      <c r="B106" s="10"/>
      <c r="C106" s="18" t="str">
        <f>IFERROR(VLOOKUP(B106, 'Project Master'!A:B, 2, FALSE), "")</f>
        <v/>
      </c>
      <c r="D106" s="10"/>
      <c r="E106" s="10"/>
      <c r="F106" s="25">
        <v>0.0</v>
      </c>
      <c r="G106" s="10"/>
    </row>
    <row r="107">
      <c r="A107" s="22"/>
      <c r="B107" s="10"/>
      <c r="C107" s="18" t="str">
        <f>IFERROR(VLOOKUP(B107, 'Project Master'!A:B, 2, FALSE), "")</f>
        <v/>
      </c>
      <c r="D107" s="10"/>
      <c r="E107" s="10"/>
      <c r="F107" s="25">
        <v>0.0</v>
      </c>
      <c r="G107" s="10"/>
    </row>
    <row r="108">
      <c r="A108" s="22"/>
      <c r="B108" s="10"/>
      <c r="C108" s="18" t="str">
        <f>IFERROR(VLOOKUP(B108, 'Project Master'!A:B, 2, FALSE), "")</f>
        <v/>
      </c>
      <c r="D108" s="10"/>
      <c r="E108" s="10"/>
      <c r="F108" s="25">
        <v>0.0</v>
      </c>
      <c r="G108" s="10"/>
    </row>
    <row r="109">
      <c r="A109" s="22"/>
      <c r="B109" s="10"/>
      <c r="C109" s="18" t="str">
        <f>IFERROR(VLOOKUP(B109, 'Project Master'!A:B, 2, FALSE), "")</f>
        <v/>
      </c>
      <c r="D109" s="10"/>
      <c r="E109" s="10"/>
      <c r="F109" s="25">
        <v>0.0</v>
      </c>
      <c r="G109" s="10"/>
    </row>
    <row r="110">
      <c r="A110" s="22"/>
      <c r="B110" s="10"/>
      <c r="C110" s="18" t="str">
        <f>IFERROR(VLOOKUP(B110, 'Project Master'!A:B, 2, FALSE), "")</f>
        <v/>
      </c>
      <c r="D110" s="10"/>
      <c r="E110" s="10"/>
      <c r="F110" s="25">
        <v>0.0</v>
      </c>
      <c r="G110" s="10"/>
    </row>
    <row r="111">
      <c r="A111" s="22"/>
      <c r="B111" s="10"/>
      <c r="C111" s="18" t="str">
        <f>IFERROR(VLOOKUP(B111, 'Project Master'!A:B, 2, FALSE), "")</f>
        <v/>
      </c>
      <c r="D111" s="10"/>
      <c r="E111" s="10"/>
      <c r="F111" s="25">
        <v>0.0</v>
      </c>
      <c r="G111" s="10"/>
    </row>
    <row r="112">
      <c r="A112" s="22"/>
      <c r="B112" s="10"/>
      <c r="C112" s="18" t="str">
        <f>IFERROR(VLOOKUP(B112, 'Project Master'!A:B, 2, FALSE), "")</f>
        <v/>
      </c>
      <c r="D112" s="10"/>
      <c r="E112" s="10"/>
      <c r="F112" s="25">
        <v>0.0</v>
      </c>
      <c r="G112" s="10"/>
    </row>
    <row r="113">
      <c r="A113" s="22"/>
      <c r="B113" s="10"/>
      <c r="C113" s="18" t="str">
        <f>IFERROR(VLOOKUP(B113, 'Project Master'!A:B, 2, FALSE), "")</f>
        <v/>
      </c>
      <c r="D113" s="10"/>
      <c r="E113" s="10"/>
      <c r="F113" s="25">
        <v>0.0</v>
      </c>
      <c r="G113" s="10"/>
    </row>
    <row r="114">
      <c r="A114" s="22"/>
      <c r="B114" s="10"/>
      <c r="C114" s="18" t="str">
        <f>IFERROR(VLOOKUP(B114, 'Project Master'!A:B, 2, FALSE), "")</f>
        <v/>
      </c>
      <c r="D114" s="10"/>
      <c r="E114" s="10"/>
      <c r="F114" s="25">
        <v>0.0</v>
      </c>
      <c r="G114" s="10"/>
    </row>
    <row r="115">
      <c r="A115" s="22"/>
      <c r="B115" s="10"/>
      <c r="C115" s="18" t="str">
        <f>IFERROR(VLOOKUP(B115, 'Project Master'!A:B, 2, FALSE), "")</f>
        <v/>
      </c>
      <c r="D115" s="10"/>
      <c r="E115" s="10"/>
      <c r="F115" s="25">
        <v>0.0</v>
      </c>
      <c r="G115" s="10"/>
    </row>
    <row r="116">
      <c r="A116" s="22"/>
      <c r="B116" s="10"/>
      <c r="C116" s="18" t="str">
        <f>IFERROR(VLOOKUP(B116, 'Project Master'!A:B, 2, FALSE), "")</f>
        <v/>
      </c>
      <c r="D116" s="10"/>
      <c r="E116" s="10"/>
      <c r="F116" s="25">
        <v>0.0</v>
      </c>
      <c r="G116" s="10"/>
    </row>
    <row r="117">
      <c r="A117" s="22"/>
      <c r="B117" s="10"/>
      <c r="C117" s="18" t="str">
        <f>IFERROR(VLOOKUP(B117, 'Project Master'!A:B, 2, FALSE), "")</f>
        <v/>
      </c>
      <c r="D117" s="10"/>
      <c r="E117" s="10"/>
      <c r="F117" s="25">
        <v>0.0</v>
      </c>
      <c r="G117" s="10"/>
    </row>
    <row r="118">
      <c r="A118" s="22"/>
      <c r="B118" s="10"/>
      <c r="C118" s="18" t="str">
        <f>IFERROR(VLOOKUP(B118, 'Project Master'!A:B, 2, FALSE), "")</f>
        <v/>
      </c>
      <c r="D118" s="10"/>
      <c r="E118" s="10"/>
      <c r="F118" s="25">
        <v>0.0</v>
      </c>
      <c r="G118" s="10"/>
    </row>
    <row r="119">
      <c r="A119" s="22"/>
      <c r="B119" s="10"/>
      <c r="C119" s="18" t="str">
        <f>IFERROR(VLOOKUP(B119, 'Project Master'!A:B, 2, FALSE), "")</f>
        <v/>
      </c>
      <c r="D119" s="10"/>
      <c r="E119" s="10"/>
      <c r="F119" s="25">
        <v>0.0</v>
      </c>
      <c r="G119" s="10"/>
    </row>
    <row r="120">
      <c r="A120" s="22"/>
      <c r="B120" s="10"/>
      <c r="C120" s="18" t="str">
        <f>IFERROR(VLOOKUP(B120, 'Project Master'!A:B, 2, FALSE), "")</f>
        <v/>
      </c>
      <c r="D120" s="10"/>
      <c r="E120" s="10"/>
      <c r="F120" s="25">
        <v>0.0</v>
      </c>
      <c r="G120" s="10"/>
    </row>
    <row r="121">
      <c r="A121" s="22"/>
      <c r="B121" s="10"/>
      <c r="C121" s="18" t="str">
        <f>IFERROR(VLOOKUP(B121, 'Project Master'!A:B, 2, FALSE), "")</f>
        <v/>
      </c>
      <c r="D121" s="10"/>
      <c r="E121" s="10"/>
      <c r="F121" s="25">
        <v>0.0</v>
      </c>
      <c r="G121" s="10"/>
    </row>
    <row r="122">
      <c r="A122" s="22"/>
      <c r="B122" s="10"/>
      <c r="C122" s="18" t="str">
        <f>IFERROR(VLOOKUP(B122, 'Project Master'!A:B, 2, FALSE), "")</f>
        <v/>
      </c>
      <c r="D122" s="10"/>
      <c r="E122" s="10"/>
      <c r="F122" s="25">
        <v>0.0</v>
      </c>
      <c r="G122" s="10"/>
    </row>
    <row r="123">
      <c r="A123" s="22"/>
      <c r="B123" s="10"/>
      <c r="C123" s="18" t="str">
        <f>IFERROR(VLOOKUP(B123, 'Project Master'!A:B, 2, FALSE), "")</f>
        <v/>
      </c>
      <c r="D123" s="10"/>
      <c r="E123" s="10"/>
      <c r="F123" s="25">
        <v>0.0</v>
      </c>
      <c r="G123" s="10"/>
    </row>
    <row r="124">
      <c r="A124" s="22"/>
      <c r="B124" s="10"/>
      <c r="C124" s="18" t="str">
        <f>IFERROR(VLOOKUP(B124, 'Project Master'!A:B, 2, FALSE), "")</f>
        <v/>
      </c>
      <c r="D124" s="10"/>
      <c r="E124" s="10"/>
      <c r="F124" s="25">
        <v>0.0</v>
      </c>
      <c r="G124" s="10"/>
    </row>
    <row r="125">
      <c r="A125" s="22"/>
      <c r="B125" s="10"/>
      <c r="C125" s="18" t="str">
        <f>IFERROR(VLOOKUP(B125, 'Project Master'!A:B, 2, FALSE), "")</f>
        <v/>
      </c>
      <c r="D125" s="10"/>
      <c r="E125" s="10"/>
      <c r="F125" s="25">
        <v>0.0</v>
      </c>
      <c r="G125" s="10"/>
    </row>
    <row r="126">
      <c r="A126" s="22"/>
      <c r="B126" s="10"/>
      <c r="C126" s="18" t="str">
        <f>IFERROR(VLOOKUP(B126, 'Project Master'!A:B, 2, FALSE), "")</f>
        <v/>
      </c>
      <c r="D126" s="10"/>
      <c r="E126" s="10"/>
      <c r="F126" s="25">
        <v>0.0</v>
      </c>
      <c r="G126" s="10"/>
    </row>
    <row r="127">
      <c r="A127" s="22"/>
      <c r="B127" s="10"/>
      <c r="C127" s="18" t="str">
        <f>IFERROR(VLOOKUP(B127, 'Project Master'!A:B, 2, FALSE), "")</f>
        <v/>
      </c>
      <c r="D127" s="10"/>
      <c r="E127" s="10"/>
      <c r="F127" s="25">
        <v>0.0</v>
      </c>
      <c r="G127" s="10"/>
    </row>
    <row r="128">
      <c r="A128" s="22"/>
      <c r="B128" s="10"/>
      <c r="C128" s="18" t="str">
        <f>IFERROR(VLOOKUP(B128, 'Project Master'!A:B, 2, FALSE), "")</f>
        <v/>
      </c>
      <c r="D128" s="10"/>
      <c r="E128" s="10"/>
      <c r="F128" s="25">
        <v>0.0</v>
      </c>
      <c r="G128" s="10"/>
    </row>
    <row r="129">
      <c r="A129" s="22"/>
      <c r="B129" s="10"/>
      <c r="C129" s="18" t="str">
        <f>IFERROR(VLOOKUP(B129, 'Project Master'!A:B, 2, FALSE), "")</f>
        <v/>
      </c>
      <c r="D129" s="10"/>
      <c r="E129" s="10"/>
      <c r="F129" s="25">
        <v>0.0</v>
      </c>
      <c r="G129" s="10"/>
    </row>
    <row r="130">
      <c r="A130" s="22"/>
      <c r="B130" s="10"/>
      <c r="C130" s="18" t="str">
        <f>IFERROR(VLOOKUP(B130, 'Project Master'!A:B, 2, FALSE), "")</f>
        <v/>
      </c>
      <c r="D130" s="10"/>
      <c r="E130" s="10"/>
      <c r="F130" s="25">
        <v>0.0</v>
      </c>
      <c r="G130" s="10"/>
    </row>
    <row r="131">
      <c r="A131" s="22"/>
      <c r="B131" s="10"/>
      <c r="C131" s="18" t="str">
        <f>IFERROR(VLOOKUP(B131, 'Project Master'!A:B, 2, FALSE), "")</f>
        <v/>
      </c>
      <c r="D131" s="10"/>
      <c r="E131" s="10"/>
      <c r="F131" s="25">
        <v>0.0</v>
      </c>
      <c r="G131" s="10"/>
    </row>
    <row r="132">
      <c r="A132" s="22"/>
      <c r="B132" s="10"/>
      <c r="C132" s="18" t="str">
        <f>IFERROR(VLOOKUP(B132, 'Project Master'!A:B, 2, FALSE), "")</f>
        <v/>
      </c>
      <c r="D132" s="10"/>
      <c r="E132" s="10"/>
      <c r="F132" s="25">
        <v>0.0</v>
      </c>
      <c r="G132" s="10"/>
    </row>
    <row r="133">
      <c r="A133" s="22"/>
      <c r="B133" s="10"/>
      <c r="C133" s="18" t="str">
        <f>IFERROR(VLOOKUP(B133, 'Project Master'!A:B, 2, FALSE), "")</f>
        <v/>
      </c>
      <c r="D133" s="10"/>
      <c r="E133" s="10"/>
      <c r="F133" s="25">
        <v>0.0</v>
      </c>
      <c r="G133" s="10"/>
    </row>
    <row r="134">
      <c r="A134" s="22"/>
      <c r="B134" s="10"/>
      <c r="C134" s="18" t="str">
        <f>IFERROR(VLOOKUP(B134, 'Project Master'!A:B, 2, FALSE), "")</f>
        <v/>
      </c>
      <c r="D134" s="10"/>
      <c r="E134" s="10"/>
      <c r="F134" s="25">
        <v>0.0</v>
      </c>
      <c r="G134" s="10"/>
    </row>
    <row r="135">
      <c r="A135" s="22"/>
      <c r="B135" s="10"/>
      <c r="C135" s="18" t="str">
        <f>IFERROR(VLOOKUP(B135, 'Project Master'!A:B, 2, FALSE), "")</f>
        <v/>
      </c>
      <c r="D135" s="10"/>
      <c r="E135" s="10"/>
      <c r="F135" s="25">
        <v>0.0</v>
      </c>
      <c r="G135" s="10"/>
    </row>
    <row r="136">
      <c r="A136" s="22"/>
      <c r="B136" s="10"/>
      <c r="C136" s="18" t="str">
        <f>IFERROR(VLOOKUP(B136, 'Project Master'!A:B, 2, FALSE), "")</f>
        <v/>
      </c>
      <c r="D136" s="10"/>
      <c r="E136" s="10"/>
      <c r="F136" s="25">
        <v>0.0</v>
      </c>
      <c r="G136" s="10"/>
    </row>
    <row r="137">
      <c r="A137" s="22"/>
      <c r="B137" s="10"/>
      <c r="C137" s="18" t="str">
        <f>IFERROR(VLOOKUP(B137, 'Project Master'!A:B, 2, FALSE), "")</f>
        <v/>
      </c>
      <c r="D137" s="10"/>
      <c r="E137" s="10"/>
      <c r="F137" s="25">
        <v>0.0</v>
      </c>
      <c r="G137" s="10"/>
    </row>
    <row r="138">
      <c r="A138" s="22"/>
      <c r="B138" s="10"/>
      <c r="C138" s="18" t="str">
        <f>IFERROR(VLOOKUP(B138, 'Project Master'!A:B, 2, FALSE), "")</f>
        <v/>
      </c>
      <c r="D138" s="10"/>
      <c r="E138" s="10"/>
      <c r="F138" s="25">
        <v>0.0</v>
      </c>
      <c r="G138" s="10"/>
    </row>
    <row r="139">
      <c r="A139" s="22"/>
      <c r="B139" s="10"/>
      <c r="C139" s="18" t="str">
        <f>IFERROR(VLOOKUP(B139, 'Project Master'!A:B, 2, FALSE), "")</f>
        <v/>
      </c>
      <c r="D139" s="10"/>
      <c r="E139" s="10"/>
      <c r="F139" s="25">
        <v>0.0</v>
      </c>
      <c r="G139" s="10"/>
    </row>
    <row r="140">
      <c r="A140" s="22"/>
      <c r="B140" s="10"/>
      <c r="C140" s="18" t="str">
        <f>IFERROR(VLOOKUP(B140, 'Project Master'!A:B, 2, FALSE), "")</f>
        <v/>
      </c>
      <c r="D140" s="10"/>
      <c r="E140" s="10"/>
      <c r="F140" s="25">
        <v>0.0</v>
      </c>
      <c r="G140" s="10"/>
    </row>
    <row r="141">
      <c r="A141" s="22"/>
      <c r="B141" s="10"/>
      <c r="C141" s="18" t="str">
        <f>IFERROR(VLOOKUP(B141, 'Project Master'!A:B, 2, FALSE), "")</f>
        <v/>
      </c>
      <c r="D141" s="10"/>
      <c r="E141" s="10"/>
      <c r="F141" s="25">
        <v>0.0</v>
      </c>
      <c r="G141" s="10"/>
    </row>
    <row r="142">
      <c r="A142" s="22"/>
      <c r="B142" s="10"/>
      <c r="C142" s="18" t="str">
        <f>IFERROR(VLOOKUP(B142, 'Project Master'!A:B, 2, FALSE), "")</f>
        <v/>
      </c>
      <c r="D142" s="10"/>
      <c r="E142" s="10"/>
      <c r="F142" s="25">
        <v>0.0</v>
      </c>
      <c r="G142" s="10"/>
    </row>
    <row r="143">
      <c r="A143" s="22"/>
      <c r="B143" s="10"/>
      <c r="C143" s="18" t="str">
        <f>IFERROR(VLOOKUP(B143, 'Project Master'!A:B, 2, FALSE), "")</f>
        <v/>
      </c>
      <c r="D143" s="10"/>
      <c r="E143" s="10"/>
      <c r="F143" s="25">
        <v>0.0</v>
      </c>
      <c r="G143" s="10"/>
    </row>
    <row r="144">
      <c r="A144" s="22"/>
      <c r="B144" s="10"/>
      <c r="C144" s="18" t="str">
        <f>IFERROR(VLOOKUP(B144, 'Project Master'!A:B, 2, FALSE), "")</f>
        <v/>
      </c>
      <c r="D144" s="10"/>
      <c r="E144" s="10"/>
      <c r="F144" s="25">
        <v>0.0</v>
      </c>
      <c r="G144" s="10"/>
    </row>
    <row r="145">
      <c r="A145" s="22"/>
      <c r="B145" s="10"/>
      <c r="C145" s="18" t="str">
        <f>IFERROR(VLOOKUP(B145, 'Project Master'!A:B, 2, FALSE), "")</f>
        <v/>
      </c>
      <c r="D145" s="10"/>
      <c r="E145" s="10"/>
      <c r="F145" s="25">
        <v>0.0</v>
      </c>
      <c r="G145" s="10"/>
    </row>
    <row r="146">
      <c r="A146" s="22"/>
      <c r="B146" s="10"/>
      <c r="C146" s="18" t="str">
        <f>IFERROR(VLOOKUP(B146, 'Project Master'!A:B, 2, FALSE), "")</f>
        <v/>
      </c>
      <c r="D146" s="10"/>
      <c r="E146" s="10"/>
      <c r="F146" s="25">
        <v>0.0</v>
      </c>
      <c r="G146" s="10"/>
    </row>
    <row r="147">
      <c r="A147" s="22"/>
      <c r="B147" s="10"/>
      <c r="C147" s="18" t="str">
        <f>IFERROR(VLOOKUP(B147, 'Project Master'!A:B, 2, FALSE), "")</f>
        <v/>
      </c>
      <c r="D147" s="10"/>
      <c r="E147" s="10"/>
      <c r="F147" s="25">
        <v>0.0</v>
      </c>
      <c r="G147" s="10"/>
    </row>
    <row r="148">
      <c r="A148" s="22"/>
      <c r="B148" s="10"/>
      <c r="C148" s="18" t="str">
        <f>IFERROR(VLOOKUP(B148, 'Project Master'!A:B, 2, FALSE), "")</f>
        <v/>
      </c>
      <c r="D148" s="10"/>
      <c r="E148" s="10"/>
      <c r="F148" s="25">
        <v>0.0</v>
      </c>
      <c r="G148" s="10"/>
    </row>
    <row r="149">
      <c r="A149" s="22"/>
      <c r="B149" s="10"/>
      <c r="C149" s="18" t="str">
        <f>IFERROR(VLOOKUP(B149, 'Project Master'!A:B, 2, FALSE), "")</f>
        <v/>
      </c>
      <c r="D149" s="10"/>
      <c r="E149" s="10"/>
      <c r="F149" s="25">
        <v>0.0</v>
      </c>
      <c r="G149" s="10"/>
    </row>
    <row r="150">
      <c r="A150" s="22"/>
      <c r="B150" s="10"/>
      <c r="C150" s="18" t="str">
        <f>IFERROR(VLOOKUP(B150, 'Project Master'!A:B, 2, FALSE), "")</f>
        <v/>
      </c>
      <c r="D150" s="10"/>
      <c r="E150" s="10"/>
      <c r="F150" s="25">
        <v>0.0</v>
      </c>
      <c r="G150" s="10"/>
    </row>
    <row r="151">
      <c r="A151" s="22"/>
      <c r="B151" s="10"/>
      <c r="C151" s="18" t="str">
        <f>IFERROR(VLOOKUP(B151, 'Project Master'!A:B, 2, FALSE), "")</f>
        <v/>
      </c>
      <c r="D151" s="10"/>
      <c r="E151" s="10"/>
      <c r="F151" s="25">
        <v>0.0</v>
      </c>
      <c r="G151" s="10"/>
    </row>
    <row r="152">
      <c r="A152" s="22"/>
      <c r="B152" s="10"/>
      <c r="C152" s="18" t="str">
        <f>IFERROR(VLOOKUP(B152, 'Project Master'!A:B, 2, FALSE), "")</f>
        <v/>
      </c>
      <c r="D152" s="10"/>
      <c r="E152" s="10"/>
      <c r="F152" s="25">
        <v>0.0</v>
      </c>
      <c r="G152" s="10"/>
    </row>
    <row r="153">
      <c r="A153" s="22"/>
      <c r="B153" s="10"/>
      <c r="C153" s="18" t="str">
        <f>IFERROR(VLOOKUP(B153, 'Project Master'!A:B, 2, FALSE), "")</f>
        <v/>
      </c>
      <c r="D153" s="10"/>
      <c r="E153" s="10"/>
      <c r="F153" s="25">
        <v>0.0</v>
      </c>
      <c r="G153" s="10"/>
    </row>
    <row r="154">
      <c r="A154" s="22"/>
      <c r="B154" s="10"/>
      <c r="C154" s="18" t="str">
        <f>IFERROR(VLOOKUP(B154, 'Project Master'!A:B, 2, FALSE), "")</f>
        <v/>
      </c>
      <c r="D154" s="10"/>
      <c r="E154" s="10"/>
      <c r="F154" s="25">
        <v>0.0</v>
      </c>
      <c r="G154" s="10"/>
    </row>
    <row r="155">
      <c r="A155" s="22"/>
      <c r="B155" s="10"/>
      <c r="C155" s="18" t="str">
        <f>IFERROR(VLOOKUP(B155, 'Project Master'!A:B, 2, FALSE), "")</f>
        <v/>
      </c>
      <c r="D155" s="10"/>
      <c r="E155" s="10"/>
      <c r="F155" s="25">
        <v>0.0</v>
      </c>
      <c r="G155" s="10"/>
    </row>
    <row r="156">
      <c r="A156" s="22"/>
      <c r="B156" s="10"/>
      <c r="C156" s="18" t="str">
        <f>IFERROR(VLOOKUP(B156, 'Project Master'!A:B, 2, FALSE), "")</f>
        <v/>
      </c>
      <c r="D156" s="10"/>
      <c r="E156" s="10"/>
      <c r="F156" s="25">
        <v>0.0</v>
      </c>
      <c r="G156" s="10"/>
    </row>
    <row r="157">
      <c r="A157" s="22"/>
      <c r="B157" s="10"/>
      <c r="C157" s="18" t="str">
        <f>IFERROR(VLOOKUP(B157, 'Project Master'!A:B, 2, FALSE), "")</f>
        <v/>
      </c>
      <c r="D157" s="10"/>
      <c r="E157" s="10"/>
      <c r="F157" s="25">
        <v>0.0</v>
      </c>
      <c r="G157" s="10"/>
    </row>
    <row r="158">
      <c r="A158" s="22"/>
      <c r="B158" s="10"/>
      <c r="C158" s="18" t="str">
        <f>IFERROR(VLOOKUP(B158, 'Project Master'!A:B, 2, FALSE), "")</f>
        <v/>
      </c>
      <c r="D158" s="10"/>
      <c r="E158" s="10"/>
      <c r="F158" s="25">
        <v>0.0</v>
      </c>
      <c r="G158" s="10"/>
    </row>
    <row r="159">
      <c r="A159" s="22"/>
      <c r="B159" s="10"/>
      <c r="C159" s="18" t="str">
        <f>IFERROR(VLOOKUP(B159, 'Project Master'!A:B, 2, FALSE), "")</f>
        <v/>
      </c>
      <c r="D159" s="10"/>
      <c r="E159" s="10"/>
      <c r="F159" s="25">
        <v>0.0</v>
      </c>
      <c r="G159" s="10"/>
    </row>
    <row r="160">
      <c r="A160" s="22"/>
      <c r="B160" s="10"/>
      <c r="C160" s="18" t="str">
        <f>IFERROR(VLOOKUP(B160, 'Project Master'!A:B, 2, FALSE), "")</f>
        <v/>
      </c>
      <c r="D160" s="10"/>
      <c r="E160" s="10"/>
      <c r="F160" s="25">
        <v>0.0</v>
      </c>
      <c r="G160" s="10"/>
    </row>
    <row r="161">
      <c r="A161" s="22"/>
      <c r="B161" s="10"/>
      <c r="C161" s="18" t="str">
        <f>IFERROR(VLOOKUP(B161, 'Project Master'!A:B, 2, FALSE), "")</f>
        <v/>
      </c>
      <c r="D161" s="10"/>
      <c r="E161" s="10"/>
      <c r="F161" s="25">
        <v>0.0</v>
      </c>
      <c r="G161" s="10"/>
    </row>
    <row r="162">
      <c r="A162" s="22"/>
      <c r="B162" s="10"/>
      <c r="C162" s="18" t="str">
        <f>IFERROR(VLOOKUP(B162, 'Project Master'!A:B, 2, FALSE), "")</f>
        <v/>
      </c>
      <c r="D162" s="10"/>
      <c r="E162" s="10"/>
      <c r="F162" s="25">
        <v>0.0</v>
      </c>
      <c r="G162" s="10"/>
    </row>
    <row r="163">
      <c r="A163" s="22"/>
      <c r="B163" s="10"/>
      <c r="C163" s="18" t="str">
        <f>IFERROR(VLOOKUP(B163, 'Project Master'!A:B, 2, FALSE), "")</f>
        <v/>
      </c>
      <c r="D163" s="10"/>
      <c r="E163" s="10"/>
      <c r="F163" s="25">
        <v>0.0</v>
      </c>
      <c r="G163" s="10"/>
    </row>
    <row r="164">
      <c r="A164" s="22"/>
      <c r="B164" s="10"/>
      <c r="C164" s="18" t="str">
        <f>IFERROR(VLOOKUP(B164, 'Project Master'!A:B, 2, FALSE), "")</f>
        <v/>
      </c>
      <c r="D164" s="10"/>
      <c r="E164" s="10"/>
      <c r="F164" s="25">
        <v>0.0</v>
      </c>
      <c r="G164" s="10"/>
    </row>
    <row r="165">
      <c r="A165" s="22"/>
      <c r="B165" s="10"/>
      <c r="C165" s="18" t="str">
        <f>IFERROR(VLOOKUP(B165, 'Project Master'!A:B, 2, FALSE), "")</f>
        <v/>
      </c>
      <c r="D165" s="10"/>
      <c r="E165" s="10"/>
      <c r="F165" s="25">
        <v>0.0</v>
      </c>
      <c r="G165" s="10"/>
    </row>
    <row r="166">
      <c r="A166" s="22"/>
      <c r="B166" s="10"/>
      <c r="C166" s="18" t="str">
        <f>IFERROR(VLOOKUP(B166, 'Project Master'!A:B, 2, FALSE), "")</f>
        <v/>
      </c>
      <c r="D166" s="10"/>
      <c r="E166" s="10"/>
      <c r="F166" s="25">
        <v>0.0</v>
      </c>
      <c r="G166" s="10"/>
    </row>
    <row r="167">
      <c r="A167" s="22"/>
      <c r="B167" s="10"/>
      <c r="C167" s="18" t="str">
        <f>IFERROR(VLOOKUP(B167, 'Project Master'!A:B, 2, FALSE), "")</f>
        <v/>
      </c>
      <c r="D167" s="10"/>
      <c r="E167" s="10"/>
      <c r="F167" s="25">
        <v>0.0</v>
      </c>
      <c r="G167" s="10"/>
    </row>
    <row r="168">
      <c r="A168" s="22"/>
      <c r="B168" s="10"/>
      <c r="C168" s="18" t="str">
        <f>IFERROR(VLOOKUP(B168, 'Project Master'!A:B, 2, FALSE), "")</f>
        <v/>
      </c>
      <c r="D168" s="10"/>
      <c r="E168" s="10"/>
      <c r="F168" s="25">
        <v>0.0</v>
      </c>
      <c r="G168" s="10"/>
    </row>
    <row r="169">
      <c r="A169" s="22"/>
      <c r="B169" s="10"/>
      <c r="C169" s="18" t="str">
        <f>IFERROR(VLOOKUP(B169, 'Project Master'!A:B, 2, FALSE), "")</f>
        <v/>
      </c>
      <c r="D169" s="10"/>
      <c r="E169" s="10"/>
      <c r="F169" s="25">
        <v>0.0</v>
      </c>
      <c r="G169" s="10"/>
    </row>
    <row r="170">
      <c r="A170" s="22"/>
      <c r="B170" s="10"/>
      <c r="C170" s="18" t="str">
        <f>IFERROR(VLOOKUP(B170, 'Project Master'!A:B, 2, FALSE), "")</f>
        <v/>
      </c>
      <c r="D170" s="10"/>
      <c r="E170" s="10"/>
      <c r="F170" s="25">
        <v>0.0</v>
      </c>
      <c r="G170" s="10"/>
    </row>
    <row r="171">
      <c r="A171" s="22"/>
      <c r="B171" s="10"/>
      <c r="C171" s="18" t="str">
        <f>IFERROR(VLOOKUP(B171, 'Project Master'!A:B, 2, FALSE), "")</f>
        <v/>
      </c>
      <c r="D171" s="10"/>
      <c r="E171" s="10"/>
      <c r="F171" s="25">
        <v>0.0</v>
      </c>
      <c r="G171" s="10"/>
    </row>
    <row r="172">
      <c r="A172" s="22"/>
      <c r="B172" s="10"/>
      <c r="C172" s="18" t="str">
        <f>IFERROR(VLOOKUP(B172, 'Project Master'!A:B, 2, FALSE), "")</f>
        <v/>
      </c>
      <c r="D172" s="10"/>
      <c r="E172" s="10"/>
      <c r="F172" s="25">
        <v>0.0</v>
      </c>
      <c r="G172" s="10"/>
    </row>
    <row r="173">
      <c r="A173" s="22"/>
      <c r="B173" s="10"/>
      <c r="C173" s="18" t="str">
        <f>IFERROR(VLOOKUP(B173, 'Project Master'!A:B, 2, FALSE), "")</f>
        <v/>
      </c>
      <c r="D173" s="10"/>
      <c r="E173" s="10"/>
      <c r="F173" s="25">
        <v>0.0</v>
      </c>
      <c r="G173" s="10"/>
    </row>
    <row r="174">
      <c r="A174" s="22"/>
      <c r="B174" s="10"/>
      <c r="C174" s="18" t="str">
        <f>IFERROR(VLOOKUP(B174, 'Project Master'!A:B, 2, FALSE), "")</f>
        <v/>
      </c>
      <c r="D174" s="10"/>
      <c r="E174" s="10"/>
      <c r="F174" s="25">
        <v>0.0</v>
      </c>
      <c r="G174" s="10"/>
    </row>
    <row r="175">
      <c r="A175" s="22"/>
      <c r="B175" s="10"/>
      <c r="C175" s="18" t="str">
        <f>IFERROR(VLOOKUP(B175, 'Project Master'!A:B, 2, FALSE), "")</f>
        <v/>
      </c>
      <c r="D175" s="10"/>
      <c r="E175" s="10"/>
      <c r="F175" s="25">
        <v>0.0</v>
      </c>
      <c r="G175" s="10"/>
    </row>
    <row r="176">
      <c r="A176" s="22"/>
      <c r="B176" s="10"/>
      <c r="C176" s="18" t="str">
        <f>IFERROR(VLOOKUP(B176, 'Project Master'!A:B, 2, FALSE), "")</f>
        <v/>
      </c>
      <c r="D176" s="10"/>
      <c r="E176" s="10"/>
      <c r="F176" s="25">
        <v>0.0</v>
      </c>
      <c r="G176" s="10"/>
    </row>
    <row r="177">
      <c r="A177" s="22"/>
      <c r="B177" s="10"/>
      <c r="C177" s="18" t="str">
        <f>IFERROR(VLOOKUP(B177, 'Project Master'!A:B, 2, FALSE), "")</f>
        <v/>
      </c>
      <c r="D177" s="10"/>
      <c r="E177" s="10"/>
      <c r="F177" s="25">
        <v>0.0</v>
      </c>
      <c r="G177" s="10"/>
    </row>
    <row r="178">
      <c r="A178" s="22"/>
      <c r="B178" s="10"/>
      <c r="C178" s="18" t="str">
        <f>IFERROR(VLOOKUP(B178, 'Project Master'!A:B, 2, FALSE), "")</f>
        <v/>
      </c>
      <c r="D178" s="10"/>
      <c r="E178" s="10"/>
      <c r="F178" s="25">
        <v>0.0</v>
      </c>
      <c r="G178" s="10"/>
    </row>
    <row r="179">
      <c r="A179" s="22"/>
      <c r="B179" s="10"/>
      <c r="C179" s="18" t="str">
        <f>IFERROR(VLOOKUP(B179, 'Project Master'!A:B, 2, FALSE), "")</f>
        <v/>
      </c>
      <c r="D179" s="10"/>
      <c r="E179" s="10"/>
      <c r="F179" s="25">
        <v>0.0</v>
      </c>
      <c r="G179" s="10"/>
    </row>
    <row r="180">
      <c r="A180" s="22"/>
      <c r="B180" s="10"/>
      <c r="C180" s="18" t="str">
        <f>IFERROR(VLOOKUP(B180, 'Project Master'!A:B, 2, FALSE), "")</f>
        <v/>
      </c>
      <c r="D180" s="10"/>
      <c r="E180" s="10"/>
      <c r="F180" s="25">
        <v>0.0</v>
      </c>
      <c r="G180" s="10"/>
    </row>
    <row r="181">
      <c r="A181" s="22"/>
      <c r="B181" s="10"/>
      <c r="C181" s="18" t="str">
        <f>IFERROR(VLOOKUP(B181, 'Project Master'!A:B, 2, FALSE), "")</f>
        <v/>
      </c>
      <c r="D181" s="10"/>
      <c r="E181" s="10"/>
      <c r="F181" s="25">
        <v>0.0</v>
      </c>
      <c r="G181" s="10"/>
    </row>
    <row r="182">
      <c r="A182" s="22"/>
      <c r="B182" s="10"/>
      <c r="C182" s="18" t="str">
        <f>IFERROR(VLOOKUP(B182, 'Project Master'!A:B, 2, FALSE), "")</f>
        <v/>
      </c>
      <c r="D182" s="10"/>
      <c r="E182" s="10"/>
      <c r="F182" s="25">
        <v>0.0</v>
      </c>
      <c r="G182" s="10"/>
    </row>
    <row r="183">
      <c r="A183" s="22"/>
      <c r="B183" s="10"/>
      <c r="C183" s="18" t="str">
        <f>IFERROR(VLOOKUP(B183, 'Project Master'!A:B, 2, FALSE), "")</f>
        <v/>
      </c>
      <c r="D183" s="10"/>
      <c r="E183" s="10"/>
      <c r="F183" s="25">
        <v>0.0</v>
      </c>
      <c r="G183" s="10"/>
    </row>
    <row r="184">
      <c r="A184" s="22"/>
      <c r="B184" s="10"/>
      <c r="C184" s="18" t="str">
        <f>IFERROR(VLOOKUP(B184, 'Project Master'!A:B, 2, FALSE), "")</f>
        <v/>
      </c>
      <c r="D184" s="10"/>
      <c r="E184" s="10"/>
      <c r="F184" s="25">
        <v>0.0</v>
      </c>
      <c r="G184" s="10"/>
    </row>
    <row r="185">
      <c r="A185" s="22"/>
      <c r="B185" s="10"/>
      <c r="C185" s="18" t="str">
        <f>IFERROR(VLOOKUP(B185, 'Project Master'!A:B, 2, FALSE), "")</f>
        <v/>
      </c>
      <c r="D185" s="10"/>
      <c r="E185" s="10"/>
      <c r="F185" s="25">
        <v>0.0</v>
      </c>
      <c r="G185" s="10"/>
    </row>
    <row r="186">
      <c r="A186" s="22"/>
      <c r="B186" s="10"/>
      <c r="C186" s="18" t="str">
        <f>IFERROR(VLOOKUP(B186, 'Project Master'!A:B, 2, FALSE), "")</f>
        <v/>
      </c>
      <c r="D186" s="10"/>
      <c r="E186" s="10"/>
      <c r="F186" s="25">
        <v>0.0</v>
      </c>
      <c r="G186" s="10"/>
    </row>
    <row r="187">
      <c r="A187" s="22"/>
      <c r="B187" s="10"/>
      <c r="C187" s="18" t="str">
        <f>IFERROR(VLOOKUP(B187, 'Project Master'!A:B, 2, FALSE), "")</f>
        <v/>
      </c>
      <c r="D187" s="10"/>
      <c r="E187" s="10"/>
      <c r="F187" s="25">
        <v>0.0</v>
      </c>
      <c r="G187" s="10"/>
    </row>
    <row r="188">
      <c r="A188" s="22"/>
      <c r="B188" s="10"/>
      <c r="C188" s="18" t="str">
        <f>IFERROR(VLOOKUP(B188, 'Project Master'!A:B, 2, FALSE), "")</f>
        <v/>
      </c>
      <c r="D188" s="10"/>
      <c r="E188" s="10"/>
      <c r="F188" s="25">
        <v>0.0</v>
      </c>
      <c r="G188" s="10"/>
    </row>
    <row r="189">
      <c r="A189" s="22"/>
      <c r="B189" s="10"/>
      <c r="C189" s="18" t="str">
        <f>IFERROR(VLOOKUP(B189, 'Project Master'!A:B, 2, FALSE), "")</f>
        <v/>
      </c>
      <c r="D189" s="10"/>
      <c r="E189" s="10"/>
      <c r="F189" s="25">
        <v>0.0</v>
      </c>
      <c r="G189" s="10"/>
    </row>
    <row r="190">
      <c r="A190" s="22"/>
      <c r="B190" s="10"/>
      <c r="C190" s="18" t="str">
        <f>IFERROR(VLOOKUP(B190, 'Project Master'!A:B, 2, FALSE), "")</f>
        <v/>
      </c>
      <c r="D190" s="10"/>
      <c r="E190" s="10"/>
      <c r="F190" s="25">
        <v>0.0</v>
      </c>
      <c r="G190" s="10"/>
    </row>
    <row r="191">
      <c r="A191" s="22"/>
      <c r="B191" s="10"/>
      <c r="C191" s="18" t="str">
        <f>IFERROR(VLOOKUP(B191, 'Project Master'!A:B, 2, FALSE), "")</f>
        <v/>
      </c>
      <c r="D191" s="10"/>
      <c r="E191" s="10"/>
      <c r="F191" s="25">
        <v>0.0</v>
      </c>
      <c r="G191" s="10"/>
    </row>
    <row r="192">
      <c r="A192" s="22"/>
      <c r="B192" s="10"/>
      <c r="C192" s="18" t="str">
        <f>IFERROR(VLOOKUP(B192, 'Project Master'!A:B, 2, FALSE), "")</f>
        <v/>
      </c>
      <c r="D192" s="10"/>
      <c r="E192" s="10"/>
      <c r="F192" s="25">
        <v>0.0</v>
      </c>
      <c r="G192" s="10"/>
    </row>
    <row r="193">
      <c r="A193" s="22"/>
      <c r="B193" s="10"/>
      <c r="C193" s="18" t="str">
        <f>IFERROR(VLOOKUP(B193, 'Project Master'!A:B, 2, FALSE), "")</f>
        <v/>
      </c>
      <c r="D193" s="10"/>
      <c r="E193" s="10"/>
      <c r="F193" s="25">
        <v>0.0</v>
      </c>
      <c r="G193" s="10"/>
    </row>
    <row r="194">
      <c r="A194" s="22"/>
      <c r="B194" s="10"/>
      <c r="C194" s="18" t="str">
        <f>IFERROR(VLOOKUP(B194, 'Project Master'!A:B, 2, FALSE), "")</f>
        <v/>
      </c>
      <c r="D194" s="10"/>
      <c r="E194" s="10"/>
      <c r="F194" s="25">
        <v>0.0</v>
      </c>
      <c r="G194" s="10"/>
    </row>
    <row r="195">
      <c r="A195" s="22"/>
      <c r="B195" s="10"/>
      <c r="C195" s="18" t="str">
        <f>IFERROR(VLOOKUP(B195, 'Project Master'!A:B, 2, FALSE), "")</f>
        <v/>
      </c>
      <c r="D195" s="10"/>
      <c r="E195" s="10"/>
      <c r="F195" s="25">
        <v>0.0</v>
      </c>
      <c r="G195" s="10"/>
    </row>
    <row r="196">
      <c r="A196" s="22"/>
      <c r="B196" s="10"/>
      <c r="C196" s="18" t="str">
        <f>IFERROR(VLOOKUP(B196, 'Project Master'!A:B, 2, FALSE), "")</f>
        <v/>
      </c>
      <c r="D196" s="10"/>
      <c r="E196" s="10"/>
      <c r="F196" s="25">
        <v>0.0</v>
      </c>
      <c r="G196" s="10"/>
    </row>
    <row r="197">
      <c r="A197" s="22"/>
      <c r="B197" s="10"/>
      <c r="C197" s="18" t="str">
        <f>IFERROR(VLOOKUP(B197, 'Project Master'!A:B, 2, FALSE), "")</f>
        <v/>
      </c>
      <c r="D197" s="10"/>
      <c r="E197" s="10"/>
      <c r="F197" s="25">
        <v>0.0</v>
      </c>
      <c r="G197" s="10"/>
    </row>
    <row r="198">
      <c r="A198" s="22"/>
      <c r="B198" s="10"/>
      <c r="C198" s="18" t="str">
        <f>IFERROR(VLOOKUP(B198, 'Project Master'!A:B, 2, FALSE), "")</f>
        <v/>
      </c>
      <c r="D198" s="10"/>
      <c r="E198" s="10"/>
      <c r="F198" s="25">
        <v>0.0</v>
      </c>
      <c r="G198" s="10"/>
    </row>
    <row r="199">
      <c r="A199" s="22"/>
      <c r="B199" s="10"/>
      <c r="C199" s="18" t="str">
        <f>IFERROR(VLOOKUP(B199, 'Project Master'!A:B, 2, FALSE), "")</f>
        <v/>
      </c>
      <c r="D199" s="10"/>
      <c r="E199" s="10"/>
      <c r="F199" s="25">
        <v>0.0</v>
      </c>
      <c r="G199" s="10"/>
    </row>
    <row r="200">
      <c r="A200" s="22"/>
      <c r="B200" s="10"/>
      <c r="C200" s="18" t="str">
        <f>IFERROR(VLOOKUP(B200, 'Project Master'!A:B, 2, FALSE), "")</f>
        <v/>
      </c>
      <c r="D200" s="10"/>
      <c r="E200" s="10"/>
      <c r="F200" s="25">
        <v>0.0</v>
      </c>
      <c r="G200" s="10"/>
    </row>
    <row r="201">
      <c r="A201" s="22"/>
      <c r="B201" s="10"/>
      <c r="C201" s="18" t="str">
        <f>IFERROR(VLOOKUP(B201, 'Project Master'!A:B, 2, FALSE), "")</f>
        <v/>
      </c>
      <c r="D201" s="10"/>
      <c r="E201" s="10"/>
      <c r="F201" s="25">
        <v>0.0</v>
      </c>
      <c r="G201" s="10"/>
    </row>
    <row r="202">
      <c r="A202" s="22"/>
      <c r="B202" s="10"/>
      <c r="C202" s="18" t="str">
        <f>IFERROR(VLOOKUP(B202, 'Project Master'!A:B, 2, FALSE), "")</f>
        <v/>
      </c>
      <c r="D202" s="10"/>
      <c r="E202" s="10"/>
      <c r="F202" s="25">
        <v>0.0</v>
      </c>
      <c r="G202" s="10"/>
    </row>
    <row r="203">
      <c r="A203" s="22"/>
      <c r="B203" s="10"/>
      <c r="C203" s="18" t="str">
        <f>IFERROR(VLOOKUP(B203, 'Project Master'!A:B, 2, FALSE), "")</f>
        <v/>
      </c>
      <c r="D203" s="10"/>
      <c r="E203" s="10"/>
      <c r="F203" s="25">
        <v>0.0</v>
      </c>
      <c r="G203" s="10"/>
    </row>
    <row r="204">
      <c r="A204" s="22"/>
      <c r="B204" s="10"/>
      <c r="C204" s="18" t="str">
        <f>IFERROR(VLOOKUP(B204, 'Project Master'!A:B, 2, FALSE), "")</f>
        <v/>
      </c>
      <c r="D204" s="10"/>
      <c r="E204" s="10"/>
      <c r="F204" s="25">
        <v>0.0</v>
      </c>
      <c r="G204" s="10"/>
    </row>
    <row r="205">
      <c r="A205" s="22"/>
      <c r="B205" s="10"/>
      <c r="C205" s="18" t="str">
        <f>IFERROR(VLOOKUP(B205, 'Project Master'!A:B, 2, FALSE), "")</f>
        <v/>
      </c>
      <c r="D205" s="10"/>
      <c r="E205" s="10"/>
      <c r="F205" s="25">
        <v>0.0</v>
      </c>
      <c r="G205" s="10"/>
    </row>
    <row r="206">
      <c r="A206" s="22"/>
      <c r="B206" s="10"/>
      <c r="C206" s="18" t="str">
        <f>IFERROR(VLOOKUP(B206, 'Project Master'!A:B, 2, FALSE), "")</f>
        <v/>
      </c>
      <c r="D206" s="10"/>
      <c r="E206" s="10"/>
      <c r="F206" s="25">
        <v>0.0</v>
      </c>
      <c r="G206" s="10"/>
    </row>
    <row r="207">
      <c r="A207" s="22"/>
      <c r="B207" s="10"/>
      <c r="C207" s="18" t="str">
        <f>IFERROR(VLOOKUP(B207, 'Project Master'!A:B, 2, FALSE), "")</f>
        <v/>
      </c>
      <c r="D207" s="10"/>
      <c r="E207" s="10"/>
      <c r="F207" s="25">
        <v>0.0</v>
      </c>
      <c r="G207" s="10"/>
    </row>
    <row r="208">
      <c r="A208" s="22"/>
      <c r="B208" s="10"/>
      <c r="C208" s="18" t="str">
        <f>IFERROR(VLOOKUP(B208, 'Project Master'!A:B, 2, FALSE), "")</f>
        <v/>
      </c>
      <c r="D208" s="10"/>
      <c r="E208" s="10"/>
      <c r="F208" s="25">
        <v>0.0</v>
      </c>
      <c r="G208" s="10"/>
    </row>
    <row r="209">
      <c r="A209" s="22"/>
      <c r="B209" s="10"/>
      <c r="C209" s="18" t="str">
        <f>IFERROR(VLOOKUP(B209, 'Project Master'!A:B, 2, FALSE), "")</f>
        <v/>
      </c>
      <c r="D209" s="10"/>
      <c r="E209" s="10"/>
      <c r="F209" s="25">
        <v>0.0</v>
      </c>
      <c r="G209" s="10"/>
    </row>
    <row r="210">
      <c r="A210" s="22"/>
      <c r="B210" s="10"/>
      <c r="C210" s="18" t="str">
        <f>IFERROR(VLOOKUP(B210, 'Project Master'!A:B, 2, FALSE), "")</f>
        <v/>
      </c>
      <c r="D210" s="10"/>
      <c r="E210" s="10"/>
      <c r="F210" s="25">
        <v>0.0</v>
      </c>
      <c r="G210" s="10"/>
    </row>
    <row r="211">
      <c r="A211" s="22"/>
      <c r="B211" s="10"/>
      <c r="C211" s="18" t="str">
        <f>IFERROR(VLOOKUP(B211, 'Project Master'!A:B, 2, FALSE), "")</f>
        <v/>
      </c>
      <c r="D211" s="10"/>
      <c r="E211" s="10"/>
      <c r="F211" s="25">
        <v>0.0</v>
      </c>
      <c r="G211" s="10"/>
    </row>
    <row r="212">
      <c r="A212" s="22"/>
      <c r="B212" s="10"/>
      <c r="C212" s="18" t="str">
        <f>IFERROR(VLOOKUP(B212, 'Project Master'!A:B, 2, FALSE), "")</f>
        <v/>
      </c>
      <c r="D212" s="10"/>
      <c r="E212" s="10"/>
      <c r="F212" s="25">
        <v>0.0</v>
      </c>
      <c r="G212" s="10"/>
    </row>
    <row r="213">
      <c r="A213" s="22"/>
      <c r="B213" s="10"/>
      <c r="C213" s="18" t="str">
        <f>IFERROR(VLOOKUP(B213, 'Project Master'!A:B, 2, FALSE), "")</f>
        <v/>
      </c>
      <c r="D213" s="10"/>
      <c r="E213" s="10"/>
      <c r="F213" s="25">
        <v>0.0</v>
      </c>
      <c r="G213" s="10"/>
    </row>
    <row r="214">
      <c r="A214" s="22"/>
      <c r="B214" s="10"/>
      <c r="C214" s="18" t="str">
        <f>IFERROR(VLOOKUP(B214, 'Project Master'!A:B, 2, FALSE), "")</f>
        <v/>
      </c>
      <c r="D214" s="10"/>
      <c r="E214" s="10"/>
      <c r="F214" s="25">
        <v>0.0</v>
      </c>
      <c r="G214" s="10"/>
    </row>
    <row r="215">
      <c r="A215" s="22"/>
      <c r="B215" s="10"/>
      <c r="C215" s="18" t="str">
        <f>IFERROR(VLOOKUP(B215, 'Project Master'!A:B, 2, FALSE), "")</f>
        <v/>
      </c>
      <c r="D215" s="10"/>
      <c r="E215" s="10"/>
      <c r="F215" s="25">
        <v>0.0</v>
      </c>
      <c r="G215" s="10"/>
    </row>
    <row r="216">
      <c r="A216" s="22"/>
      <c r="B216" s="10"/>
      <c r="C216" s="18" t="str">
        <f>IFERROR(VLOOKUP(B216, 'Project Master'!A:B, 2, FALSE), "")</f>
        <v/>
      </c>
      <c r="D216" s="10"/>
      <c r="E216" s="10"/>
      <c r="F216" s="25">
        <v>0.0</v>
      </c>
      <c r="G216" s="10"/>
    </row>
    <row r="217">
      <c r="A217" s="22"/>
      <c r="B217" s="10"/>
      <c r="C217" s="18" t="str">
        <f>IFERROR(VLOOKUP(B217, 'Project Master'!A:B, 2, FALSE), "")</f>
        <v/>
      </c>
      <c r="D217" s="10"/>
      <c r="E217" s="10"/>
      <c r="F217" s="25">
        <v>0.0</v>
      </c>
      <c r="G217" s="10"/>
    </row>
    <row r="218">
      <c r="A218" s="22"/>
      <c r="B218" s="10"/>
      <c r="C218" s="18" t="str">
        <f>IFERROR(VLOOKUP(B218, 'Project Master'!A:B, 2, FALSE), "")</f>
        <v/>
      </c>
      <c r="D218" s="10"/>
      <c r="E218" s="10"/>
      <c r="F218" s="25">
        <v>0.0</v>
      </c>
      <c r="G218" s="10"/>
    </row>
    <row r="219">
      <c r="A219" s="22"/>
      <c r="B219" s="10"/>
      <c r="C219" s="18" t="str">
        <f>IFERROR(VLOOKUP(B219, 'Project Master'!A:B, 2, FALSE), "")</f>
        <v/>
      </c>
      <c r="D219" s="10"/>
      <c r="E219" s="10"/>
      <c r="F219" s="25">
        <v>0.0</v>
      </c>
      <c r="G219" s="10"/>
    </row>
    <row r="220">
      <c r="A220" s="22"/>
      <c r="B220" s="10"/>
      <c r="C220" s="18" t="str">
        <f>IFERROR(VLOOKUP(B220, 'Project Master'!A:B, 2, FALSE), "")</f>
        <v/>
      </c>
      <c r="D220" s="10"/>
      <c r="E220" s="10"/>
      <c r="F220" s="25">
        <v>0.0</v>
      </c>
      <c r="G220" s="10"/>
    </row>
    <row r="221">
      <c r="A221" s="22"/>
      <c r="B221" s="10"/>
      <c r="C221" s="18" t="str">
        <f>IFERROR(VLOOKUP(B221, 'Project Master'!A:B, 2, FALSE), "")</f>
        <v/>
      </c>
      <c r="D221" s="10"/>
      <c r="E221" s="10"/>
      <c r="F221" s="25">
        <v>0.0</v>
      </c>
      <c r="G221" s="10"/>
    </row>
    <row r="222">
      <c r="A222" s="22"/>
      <c r="B222" s="10"/>
      <c r="C222" s="18" t="str">
        <f>IFERROR(VLOOKUP(B222, 'Project Master'!A:B, 2, FALSE), "")</f>
        <v/>
      </c>
      <c r="D222" s="10"/>
      <c r="E222" s="10"/>
      <c r="F222" s="25">
        <v>0.0</v>
      </c>
      <c r="G222" s="10"/>
    </row>
    <row r="223">
      <c r="A223" s="22"/>
      <c r="B223" s="10"/>
      <c r="C223" s="18" t="str">
        <f>IFERROR(VLOOKUP(B223, 'Project Master'!A:B, 2, FALSE), "")</f>
        <v/>
      </c>
      <c r="D223" s="10"/>
      <c r="E223" s="10"/>
      <c r="F223" s="25">
        <v>0.0</v>
      </c>
      <c r="G223" s="10"/>
    </row>
    <row r="224">
      <c r="A224" s="22"/>
      <c r="B224" s="10"/>
      <c r="C224" s="18" t="str">
        <f>IFERROR(VLOOKUP(B224, 'Project Master'!A:B, 2, FALSE), "")</f>
        <v/>
      </c>
      <c r="D224" s="10"/>
      <c r="E224" s="10"/>
      <c r="F224" s="25">
        <v>0.0</v>
      </c>
      <c r="G224" s="10"/>
    </row>
    <row r="225">
      <c r="A225" s="22"/>
      <c r="B225" s="10"/>
      <c r="C225" s="18" t="str">
        <f>IFERROR(VLOOKUP(B225, 'Project Master'!A:B, 2, FALSE), "")</f>
        <v/>
      </c>
      <c r="D225" s="10"/>
      <c r="E225" s="10"/>
      <c r="F225" s="25">
        <v>0.0</v>
      </c>
      <c r="G225" s="10"/>
    </row>
    <row r="226">
      <c r="A226" s="22"/>
      <c r="B226" s="10"/>
      <c r="C226" s="18" t="str">
        <f>IFERROR(VLOOKUP(B226, 'Project Master'!A:B, 2, FALSE), "")</f>
        <v/>
      </c>
      <c r="D226" s="10"/>
      <c r="E226" s="10"/>
      <c r="F226" s="25">
        <v>0.0</v>
      </c>
      <c r="G226" s="10"/>
    </row>
    <row r="227">
      <c r="A227" s="22"/>
      <c r="B227" s="10"/>
      <c r="C227" s="18" t="str">
        <f>IFERROR(VLOOKUP(B227, 'Project Master'!A:B, 2, FALSE), "")</f>
        <v/>
      </c>
      <c r="D227" s="10"/>
      <c r="E227" s="10"/>
      <c r="F227" s="25">
        <v>0.0</v>
      </c>
      <c r="G227" s="10"/>
    </row>
    <row r="228">
      <c r="A228" s="22"/>
      <c r="B228" s="10"/>
      <c r="C228" s="18" t="str">
        <f>IFERROR(VLOOKUP(B228, 'Project Master'!A:B, 2, FALSE), "")</f>
        <v/>
      </c>
      <c r="D228" s="10"/>
      <c r="E228" s="10"/>
      <c r="F228" s="25">
        <v>0.0</v>
      </c>
      <c r="G228" s="10"/>
    </row>
    <row r="229">
      <c r="A229" s="22"/>
      <c r="B229" s="10"/>
      <c r="C229" s="18" t="str">
        <f>IFERROR(VLOOKUP(B229, 'Project Master'!A:B, 2, FALSE), "")</f>
        <v/>
      </c>
      <c r="D229" s="10"/>
      <c r="E229" s="10"/>
      <c r="F229" s="25">
        <v>0.0</v>
      </c>
      <c r="G229" s="10"/>
    </row>
    <row r="230">
      <c r="A230" s="22"/>
      <c r="B230" s="10"/>
      <c r="C230" s="18" t="str">
        <f>IFERROR(VLOOKUP(B230, 'Project Master'!A:B, 2, FALSE), "")</f>
        <v/>
      </c>
      <c r="D230" s="10"/>
      <c r="E230" s="10"/>
      <c r="F230" s="25">
        <v>0.0</v>
      </c>
      <c r="G230" s="10"/>
    </row>
    <row r="231">
      <c r="A231" s="22"/>
      <c r="B231" s="10"/>
      <c r="C231" s="18" t="str">
        <f>IFERROR(VLOOKUP(B231, 'Project Master'!A:B, 2, FALSE), "")</f>
        <v/>
      </c>
      <c r="D231" s="10"/>
      <c r="E231" s="10"/>
      <c r="F231" s="25">
        <v>0.0</v>
      </c>
      <c r="G231" s="10"/>
    </row>
    <row r="232">
      <c r="A232" s="22"/>
      <c r="B232" s="10"/>
      <c r="C232" s="18" t="str">
        <f>IFERROR(VLOOKUP(B232, 'Project Master'!A:B, 2, FALSE), "")</f>
        <v/>
      </c>
      <c r="D232" s="10"/>
      <c r="E232" s="10"/>
      <c r="F232" s="25">
        <v>0.0</v>
      </c>
      <c r="G232" s="10"/>
    </row>
    <row r="233">
      <c r="A233" s="22"/>
      <c r="B233" s="10"/>
      <c r="C233" s="18" t="str">
        <f>IFERROR(VLOOKUP(B233, 'Project Master'!A:B, 2, FALSE), "")</f>
        <v/>
      </c>
      <c r="D233" s="10"/>
      <c r="E233" s="10"/>
      <c r="F233" s="25">
        <v>0.0</v>
      </c>
      <c r="G233" s="10"/>
    </row>
    <row r="234">
      <c r="A234" s="22"/>
      <c r="B234" s="10"/>
      <c r="C234" s="18" t="str">
        <f>IFERROR(VLOOKUP(B234, 'Project Master'!A:B, 2, FALSE), "")</f>
        <v/>
      </c>
      <c r="D234" s="10"/>
      <c r="E234" s="10"/>
      <c r="F234" s="25">
        <v>0.0</v>
      </c>
      <c r="G234" s="10"/>
    </row>
    <row r="235">
      <c r="A235" s="22"/>
      <c r="B235" s="10"/>
      <c r="C235" s="18" t="str">
        <f>IFERROR(VLOOKUP(B235, 'Project Master'!A:B, 2, FALSE), "")</f>
        <v/>
      </c>
      <c r="D235" s="10"/>
      <c r="E235" s="10"/>
      <c r="F235" s="25">
        <v>0.0</v>
      </c>
      <c r="G235" s="10"/>
    </row>
    <row r="236">
      <c r="A236" s="22"/>
      <c r="B236" s="10"/>
      <c r="C236" s="18" t="str">
        <f>IFERROR(VLOOKUP(B236, 'Project Master'!A:B, 2, FALSE), "")</f>
        <v/>
      </c>
      <c r="D236" s="10"/>
      <c r="E236" s="10"/>
      <c r="F236" s="25">
        <v>0.0</v>
      </c>
      <c r="G236" s="10"/>
    </row>
    <row r="237">
      <c r="A237" s="22"/>
      <c r="B237" s="10"/>
      <c r="C237" s="18" t="str">
        <f>IFERROR(VLOOKUP(B237, 'Project Master'!A:B, 2, FALSE), "")</f>
        <v/>
      </c>
      <c r="D237" s="10"/>
      <c r="E237" s="10"/>
      <c r="F237" s="25">
        <v>0.0</v>
      </c>
      <c r="G237" s="10"/>
    </row>
    <row r="238">
      <c r="A238" s="22"/>
      <c r="B238" s="10"/>
      <c r="C238" s="18" t="str">
        <f>IFERROR(VLOOKUP(B238, 'Project Master'!A:B, 2, FALSE), "")</f>
        <v/>
      </c>
      <c r="D238" s="10"/>
      <c r="E238" s="10"/>
      <c r="F238" s="25">
        <v>0.0</v>
      </c>
      <c r="G238" s="10"/>
    </row>
    <row r="239">
      <c r="A239" s="22"/>
      <c r="B239" s="10"/>
      <c r="C239" s="18" t="str">
        <f>IFERROR(VLOOKUP(B239, 'Project Master'!A:B, 2, FALSE), "")</f>
        <v/>
      </c>
      <c r="D239" s="10"/>
      <c r="E239" s="10"/>
      <c r="F239" s="25">
        <v>0.0</v>
      </c>
      <c r="G239" s="10"/>
    </row>
    <row r="240">
      <c r="A240" s="22"/>
      <c r="B240" s="10"/>
      <c r="C240" s="18" t="str">
        <f>IFERROR(VLOOKUP(B240, 'Project Master'!A:B, 2, FALSE), "")</f>
        <v/>
      </c>
      <c r="D240" s="10"/>
      <c r="E240" s="10"/>
      <c r="F240" s="25">
        <v>0.0</v>
      </c>
      <c r="G240" s="10"/>
    </row>
    <row r="241">
      <c r="A241" s="22"/>
      <c r="B241" s="10"/>
      <c r="C241" s="18" t="str">
        <f>IFERROR(VLOOKUP(B241, 'Project Master'!A:B, 2, FALSE), "")</f>
        <v/>
      </c>
      <c r="D241" s="10"/>
      <c r="E241" s="10"/>
      <c r="F241" s="25">
        <v>0.0</v>
      </c>
      <c r="G241" s="10"/>
    </row>
    <row r="242">
      <c r="A242" s="22"/>
      <c r="B242" s="10"/>
      <c r="C242" s="18" t="str">
        <f>IFERROR(VLOOKUP(B242, 'Project Master'!A:B, 2, FALSE), "")</f>
        <v/>
      </c>
      <c r="D242" s="10"/>
      <c r="E242" s="10"/>
      <c r="F242" s="25">
        <v>0.0</v>
      </c>
      <c r="G242" s="10"/>
    </row>
    <row r="243">
      <c r="A243" s="22"/>
      <c r="B243" s="10"/>
      <c r="C243" s="18" t="str">
        <f>IFERROR(VLOOKUP(B243, 'Project Master'!A:B, 2, FALSE), "")</f>
        <v/>
      </c>
      <c r="D243" s="10"/>
      <c r="E243" s="10"/>
      <c r="F243" s="25">
        <v>0.0</v>
      </c>
      <c r="G243" s="10"/>
    </row>
    <row r="244">
      <c r="A244" s="22"/>
      <c r="B244" s="10"/>
      <c r="C244" s="18" t="str">
        <f>IFERROR(VLOOKUP(B244, 'Project Master'!A:B, 2, FALSE), "")</f>
        <v/>
      </c>
      <c r="D244" s="10"/>
      <c r="E244" s="10"/>
      <c r="F244" s="25">
        <v>0.0</v>
      </c>
      <c r="G244" s="10"/>
    </row>
    <row r="245">
      <c r="A245" s="22"/>
      <c r="B245" s="10"/>
      <c r="C245" s="18" t="str">
        <f>IFERROR(VLOOKUP(B245, 'Project Master'!A:B, 2, FALSE), "")</f>
        <v/>
      </c>
      <c r="D245" s="10"/>
      <c r="E245" s="10"/>
      <c r="F245" s="25">
        <v>0.0</v>
      </c>
      <c r="G245" s="10"/>
    </row>
    <row r="246">
      <c r="A246" s="22"/>
      <c r="B246" s="10"/>
      <c r="C246" s="18" t="str">
        <f>IFERROR(VLOOKUP(B246, 'Project Master'!A:B, 2, FALSE), "")</f>
        <v/>
      </c>
      <c r="D246" s="10"/>
      <c r="E246" s="10"/>
      <c r="F246" s="25">
        <v>0.0</v>
      </c>
      <c r="G246" s="10"/>
    </row>
    <row r="247">
      <c r="A247" s="22"/>
      <c r="B247" s="10"/>
      <c r="C247" s="18" t="str">
        <f>IFERROR(VLOOKUP(B247, 'Project Master'!A:B, 2, FALSE), "")</f>
        <v/>
      </c>
      <c r="D247" s="10"/>
      <c r="E247" s="10"/>
      <c r="F247" s="25">
        <v>0.0</v>
      </c>
      <c r="G247" s="10"/>
    </row>
    <row r="248">
      <c r="A248" s="22"/>
      <c r="B248" s="10"/>
      <c r="C248" s="18" t="str">
        <f>IFERROR(VLOOKUP(B248, 'Project Master'!A:B, 2, FALSE), "")</f>
        <v/>
      </c>
      <c r="D248" s="10"/>
      <c r="E248" s="10"/>
      <c r="F248" s="25">
        <v>0.0</v>
      </c>
      <c r="G248" s="10"/>
    </row>
    <row r="249">
      <c r="A249" s="22"/>
      <c r="B249" s="10"/>
      <c r="C249" s="18" t="str">
        <f>IFERROR(VLOOKUP(B249, 'Project Master'!A:B, 2, FALSE), "")</f>
        <v/>
      </c>
      <c r="D249" s="10"/>
      <c r="E249" s="10"/>
      <c r="F249" s="25">
        <v>0.0</v>
      </c>
      <c r="G249" s="10"/>
    </row>
    <row r="250">
      <c r="A250" s="22"/>
      <c r="B250" s="10"/>
      <c r="C250" s="18" t="str">
        <f>IFERROR(VLOOKUP(B250, 'Project Master'!A:B, 2, FALSE), "")</f>
        <v/>
      </c>
      <c r="D250" s="10"/>
      <c r="E250" s="10"/>
      <c r="F250" s="25">
        <v>0.0</v>
      </c>
      <c r="G250" s="10"/>
    </row>
    <row r="251">
      <c r="A251" s="22"/>
      <c r="B251" s="10"/>
      <c r="C251" s="18" t="str">
        <f>IFERROR(VLOOKUP(B251, 'Project Master'!A:B, 2, FALSE), "")</f>
        <v/>
      </c>
      <c r="D251" s="10"/>
      <c r="E251" s="10"/>
      <c r="F251" s="25">
        <v>0.0</v>
      </c>
      <c r="G251" s="10"/>
    </row>
    <row r="252">
      <c r="A252" s="22"/>
      <c r="B252" s="10"/>
      <c r="C252" s="18" t="str">
        <f>IFERROR(VLOOKUP(B252, 'Project Master'!A:B, 2, FALSE), "")</f>
        <v/>
      </c>
      <c r="D252" s="10"/>
      <c r="E252" s="10"/>
      <c r="F252" s="25">
        <v>0.0</v>
      </c>
      <c r="G252" s="10"/>
    </row>
    <row r="253">
      <c r="A253" s="22"/>
      <c r="B253" s="10"/>
      <c r="C253" s="18" t="str">
        <f>IFERROR(VLOOKUP(B253, 'Project Master'!A:B, 2, FALSE), "")</f>
        <v/>
      </c>
      <c r="D253" s="10"/>
      <c r="E253" s="10"/>
      <c r="F253" s="25">
        <v>0.0</v>
      </c>
      <c r="G253" s="10"/>
    </row>
    <row r="254">
      <c r="A254" s="22"/>
      <c r="B254" s="10"/>
      <c r="C254" s="18" t="str">
        <f>IFERROR(VLOOKUP(B254, 'Project Master'!A:B, 2, FALSE), "")</f>
        <v/>
      </c>
      <c r="D254" s="10"/>
      <c r="E254" s="10"/>
      <c r="F254" s="25">
        <v>0.0</v>
      </c>
      <c r="G254" s="10"/>
    </row>
    <row r="255">
      <c r="A255" s="22"/>
      <c r="B255" s="10"/>
      <c r="C255" s="18" t="str">
        <f>IFERROR(VLOOKUP(B255, 'Project Master'!A:B, 2, FALSE), "")</f>
        <v/>
      </c>
      <c r="D255" s="10"/>
      <c r="E255" s="10"/>
      <c r="F255" s="25">
        <v>0.0</v>
      </c>
      <c r="G255" s="10"/>
    </row>
    <row r="256">
      <c r="A256" s="22"/>
      <c r="B256" s="10"/>
      <c r="C256" s="18" t="str">
        <f>IFERROR(VLOOKUP(B256, 'Project Master'!A:B, 2, FALSE), "")</f>
        <v/>
      </c>
      <c r="D256" s="10"/>
      <c r="E256" s="10"/>
      <c r="F256" s="25">
        <v>0.0</v>
      </c>
      <c r="G256" s="10"/>
    </row>
    <row r="257">
      <c r="A257" s="22"/>
      <c r="B257" s="10"/>
      <c r="C257" s="18" t="str">
        <f>IFERROR(VLOOKUP(B257, 'Project Master'!A:B, 2, FALSE), "")</f>
        <v/>
      </c>
      <c r="D257" s="10"/>
      <c r="E257" s="10"/>
      <c r="F257" s="25">
        <v>0.0</v>
      </c>
      <c r="G257" s="10"/>
    </row>
    <row r="258">
      <c r="A258" s="22"/>
      <c r="B258" s="10"/>
      <c r="C258" s="18" t="str">
        <f>IFERROR(VLOOKUP(B258, 'Project Master'!A:B, 2, FALSE), "")</f>
        <v/>
      </c>
      <c r="D258" s="10"/>
      <c r="E258" s="10"/>
      <c r="F258" s="25">
        <v>0.0</v>
      </c>
      <c r="G258" s="10"/>
    </row>
    <row r="259">
      <c r="A259" s="22"/>
      <c r="B259" s="10"/>
      <c r="C259" s="18" t="str">
        <f>IFERROR(VLOOKUP(B259, 'Project Master'!A:B, 2, FALSE), "")</f>
        <v/>
      </c>
      <c r="D259" s="10"/>
      <c r="E259" s="10"/>
      <c r="F259" s="25">
        <v>0.0</v>
      </c>
      <c r="G259" s="10"/>
    </row>
    <row r="260">
      <c r="A260" s="22"/>
      <c r="B260" s="10"/>
      <c r="C260" s="18" t="str">
        <f>IFERROR(VLOOKUP(B260, 'Project Master'!A:B, 2, FALSE), "")</f>
        <v/>
      </c>
      <c r="D260" s="10"/>
      <c r="E260" s="10"/>
      <c r="F260" s="25">
        <v>0.0</v>
      </c>
      <c r="G260" s="10"/>
    </row>
    <row r="261">
      <c r="A261" s="22"/>
      <c r="B261" s="10"/>
      <c r="C261" s="18" t="str">
        <f>IFERROR(VLOOKUP(B261, 'Project Master'!A:B, 2, FALSE), "")</f>
        <v/>
      </c>
      <c r="D261" s="10"/>
      <c r="E261" s="10"/>
      <c r="F261" s="25">
        <v>0.0</v>
      </c>
      <c r="G261" s="10"/>
    </row>
    <row r="262">
      <c r="A262" s="22"/>
      <c r="B262" s="10"/>
      <c r="C262" s="18" t="str">
        <f>IFERROR(VLOOKUP(B262, 'Project Master'!A:B, 2, FALSE), "")</f>
        <v/>
      </c>
      <c r="D262" s="10"/>
      <c r="E262" s="10"/>
      <c r="F262" s="25">
        <v>0.0</v>
      </c>
      <c r="G262" s="10"/>
    </row>
    <row r="263">
      <c r="A263" s="22"/>
      <c r="B263" s="10"/>
      <c r="C263" s="18" t="str">
        <f>IFERROR(VLOOKUP(B263, 'Project Master'!A:B, 2, FALSE), "")</f>
        <v/>
      </c>
      <c r="D263" s="10"/>
      <c r="E263" s="10"/>
      <c r="F263" s="25">
        <v>0.0</v>
      </c>
      <c r="G263" s="10"/>
    </row>
    <row r="264">
      <c r="A264" s="22"/>
      <c r="B264" s="10"/>
      <c r="C264" s="18" t="str">
        <f>IFERROR(VLOOKUP(B264, 'Project Master'!A:B, 2, FALSE), "")</f>
        <v/>
      </c>
      <c r="D264" s="10"/>
      <c r="E264" s="10"/>
      <c r="F264" s="25">
        <v>0.0</v>
      </c>
      <c r="G264" s="10"/>
    </row>
    <row r="265">
      <c r="A265" s="22"/>
      <c r="B265" s="10"/>
      <c r="C265" s="18" t="str">
        <f>IFERROR(VLOOKUP(B265, 'Project Master'!A:B, 2, FALSE), "")</f>
        <v/>
      </c>
      <c r="D265" s="10"/>
      <c r="E265" s="10"/>
      <c r="F265" s="25">
        <v>0.0</v>
      </c>
      <c r="G265" s="10"/>
    </row>
    <row r="266">
      <c r="A266" s="22"/>
      <c r="B266" s="10"/>
      <c r="C266" s="18" t="str">
        <f>IFERROR(VLOOKUP(B266, 'Project Master'!A:B, 2, FALSE), "")</f>
        <v/>
      </c>
      <c r="D266" s="10"/>
      <c r="E266" s="10"/>
      <c r="F266" s="25">
        <v>0.0</v>
      </c>
      <c r="G266" s="10"/>
    </row>
    <row r="267">
      <c r="A267" s="22"/>
      <c r="B267" s="10"/>
      <c r="C267" s="18" t="str">
        <f>IFERROR(VLOOKUP(B267, 'Project Master'!A:B, 2, FALSE), "")</f>
        <v/>
      </c>
      <c r="D267" s="10"/>
      <c r="E267" s="10"/>
      <c r="F267" s="25">
        <v>0.0</v>
      </c>
      <c r="G267" s="10"/>
    </row>
    <row r="268">
      <c r="A268" s="22"/>
      <c r="B268" s="10"/>
      <c r="C268" s="18" t="str">
        <f>IFERROR(VLOOKUP(B268, 'Project Master'!A:B, 2, FALSE), "")</f>
        <v/>
      </c>
      <c r="D268" s="10"/>
      <c r="E268" s="10"/>
      <c r="F268" s="25">
        <v>0.0</v>
      </c>
      <c r="G268" s="10"/>
    </row>
    <row r="269">
      <c r="A269" s="22"/>
      <c r="B269" s="10"/>
      <c r="C269" s="18" t="str">
        <f>IFERROR(VLOOKUP(B269, 'Project Master'!A:B, 2, FALSE), "")</f>
        <v/>
      </c>
      <c r="D269" s="10"/>
      <c r="E269" s="10"/>
      <c r="F269" s="25">
        <v>0.0</v>
      </c>
      <c r="G269" s="10"/>
    </row>
    <row r="270">
      <c r="A270" s="22"/>
      <c r="B270" s="10"/>
      <c r="C270" s="18" t="str">
        <f>IFERROR(VLOOKUP(B270, 'Project Master'!A:B, 2, FALSE), "")</f>
        <v/>
      </c>
      <c r="D270" s="10"/>
      <c r="E270" s="10"/>
      <c r="F270" s="25">
        <v>0.0</v>
      </c>
      <c r="G270" s="10"/>
    </row>
    <row r="271">
      <c r="A271" s="22"/>
      <c r="B271" s="10"/>
      <c r="C271" s="18" t="str">
        <f>IFERROR(VLOOKUP(B271, 'Project Master'!A:B, 2, FALSE), "")</f>
        <v/>
      </c>
      <c r="D271" s="10"/>
      <c r="E271" s="10"/>
      <c r="F271" s="25">
        <v>0.0</v>
      </c>
      <c r="G271" s="10"/>
    </row>
    <row r="272">
      <c r="A272" s="22"/>
      <c r="B272" s="10"/>
      <c r="C272" s="18" t="str">
        <f>IFERROR(VLOOKUP(B272, 'Project Master'!A:B, 2, FALSE), "")</f>
        <v/>
      </c>
      <c r="D272" s="10"/>
      <c r="E272" s="10"/>
      <c r="F272" s="25">
        <v>0.0</v>
      </c>
      <c r="G272" s="10"/>
    </row>
    <row r="273">
      <c r="A273" s="22"/>
      <c r="B273" s="10"/>
      <c r="C273" s="18" t="str">
        <f>IFERROR(VLOOKUP(B273, 'Project Master'!A:B, 2, FALSE), "")</f>
        <v/>
      </c>
      <c r="D273" s="10"/>
      <c r="E273" s="10"/>
      <c r="F273" s="25">
        <v>0.0</v>
      </c>
      <c r="G273" s="10"/>
    </row>
    <row r="274">
      <c r="A274" s="22"/>
      <c r="B274" s="10"/>
      <c r="C274" s="18" t="str">
        <f>IFERROR(VLOOKUP(B274, 'Project Master'!A:B, 2, FALSE), "")</f>
        <v/>
      </c>
      <c r="D274" s="10"/>
      <c r="E274" s="10"/>
      <c r="F274" s="25">
        <v>0.0</v>
      </c>
      <c r="G274" s="10"/>
    </row>
    <row r="275">
      <c r="A275" s="22"/>
      <c r="B275" s="10"/>
      <c r="C275" s="18" t="str">
        <f>IFERROR(VLOOKUP(B275, 'Project Master'!A:B, 2, FALSE), "")</f>
        <v/>
      </c>
      <c r="D275" s="10"/>
      <c r="E275" s="10"/>
      <c r="F275" s="25">
        <v>0.0</v>
      </c>
      <c r="G275" s="10"/>
    </row>
    <row r="276">
      <c r="A276" s="22"/>
      <c r="B276" s="10"/>
      <c r="C276" s="18" t="str">
        <f>IFERROR(VLOOKUP(B276, 'Project Master'!A:B, 2, FALSE), "")</f>
        <v/>
      </c>
      <c r="D276" s="10"/>
      <c r="E276" s="10"/>
      <c r="F276" s="25">
        <v>0.0</v>
      </c>
      <c r="G276" s="10"/>
    </row>
    <row r="277">
      <c r="A277" s="22"/>
      <c r="B277" s="10"/>
      <c r="C277" s="18" t="str">
        <f>IFERROR(VLOOKUP(B277, 'Project Master'!A:B, 2, FALSE), "")</f>
        <v/>
      </c>
      <c r="D277" s="10"/>
      <c r="E277" s="10"/>
      <c r="F277" s="25">
        <v>0.0</v>
      </c>
      <c r="G277" s="10"/>
    </row>
    <row r="278">
      <c r="A278" s="22"/>
      <c r="B278" s="10"/>
      <c r="C278" s="18" t="str">
        <f>IFERROR(VLOOKUP(B278, 'Project Master'!A:B, 2, FALSE), "")</f>
        <v/>
      </c>
      <c r="D278" s="10"/>
      <c r="E278" s="10"/>
      <c r="F278" s="25">
        <v>0.0</v>
      </c>
      <c r="G278" s="10"/>
    </row>
    <row r="279">
      <c r="A279" s="22"/>
      <c r="B279" s="10"/>
      <c r="C279" s="18" t="str">
        <f>IFERROR(VLOOKUP(B279, 'Project Master'!A:B, 2, FALSE), "")</f>
        <v/>
      </c>
      <c r="D279" s="10"/>
      <c r="E279" s="10"/>
      <c r="F279" s="25">
        <v>0.0</v>
      </c>
      <c r="G279" s="10"/>
    </row>
    <row r="280">
      <c r="A280" s="22"/>
      <c r="B280" s="10"/>
      <c r="C280" s="18" t="str">
        <f>IFERROR(VLOOKUP(B280, 'Project Master'!A:B, 2, FALSE), "")</f>
        <v/>
      </c>
      <c r="D280" s="10"/>
      <c r="E280" s="10"/>
      <c r="F280" s="25">
        <v>0.0</v>
      </c>
      <c r="G280" s="10"/>
    </row>
    <row r="281">
      <c r="A281" s="22"/>
      <c r="B281" s="10"/>
      <c r="C281" s="18" t="str">
        <f>IFERROR(VLOOKUP(B281, 'Project Master'!A:B, 2, FALSE), "")</f>
        <v/>
      </c>
      <c r="D281" s="10"/>
      <c r="E281" s="10"/>
      <c r="F281" s="25">
        <v>0.0</v>
      </c>
      <c r="G281" s="10"/>
    </row>
    <row r="282">
      <c r="A282" s="22"/>
      <c r="B282" s="10"/>
      <c r="C282" s="18" t="str">
        <f>IFERROR(VLOOKUP(B282, 'Project Master'!A:B, 2, FALSE), "")</f>
        <v/>
      </c>
      <c r="D282" s="10"/>
      <c r="E282" s="10"/>
      <c r="F282" s="25">
        <v>0.0</v>
      </c>
      <c r="G282" s="10"/>
    </row>
    <row r="283">
      <c r="A283" s="22"/>
      <c r="B283" s="10"/>
      <c r="C283" s="18" t="str">
        <f>IFERROR(VLOOKUP(B283, 'Project Master'!A:B, 2, FALSE), "")</f>
        <v/>
      </c>
      <c r="D283" s="10"/>
      <c r="E283" s="10"/>
      <c r="F283" s="25">
        <v>0.0</v>
      </c>
      <c r="G283" s="10"/>
    </row>
    <row r="284">
      <c r="A284" s="22"/>
      <c r="B284" s="10"/>
      <c r="C284" s="18" t="str">
        <f>IFERROR(VLOOKUP(B284, 'Project Master'!A:B, 2, FALSE), "")</f>
        <v/>
      </c>
      <c r="D284" s="10"/>
      <c r="E284" s="10"/>
      <c r="F284" s="25">
        <v>0.0</v>
      </c>
      <c r="G284" s="10"/>
    </row>
    <row r="285">
      <c r="A285" s="22"/>
      <c r="B285" s="10"/>
      <c r="C285" s="18" t="str">
        <f>IFERROR(VLOOKUP(B285, 'Project Master'!A:B, 2, FALSE), "")</f>
        <v/>
      </c>
      <c r="D285" s="10"/>
      <c r="E285" s="10"/>
      <c r="F285" s="25">
        <v>0.0</v>
      </c>
      <c r="G285" s="10"/>
    </row>
    <row r="286">
      <c r="A286" s="22"/>
      <c r="B286" s="10"/>
      <c r="C286" s="18" t="str">
        <f>IFERROR(VLOOKUP(B286, 'Project Master'!A:B, 2, FALSE), "")</f>
        <v/>
      </c>
      <c r="D286" s="10"/>
      <c r="E286" s="10"/>
      <c r="F286" s="25">
        <v>0.0</v>
      </c>
      <c r="G286" s="10"/>
    </row>
    <row r="287">
      <c r="A287" s="22"/>
      <c r="B287" s="10"/>
      <c r="C287" s="18" t="str">
        <f>IFERROR(VLOOKUP(B287, 'Project Master'!A:B, 2, FALSE), "")</f>
        <v/>
      </c>
      <c r="D287" s="10"/>
      <c r="E287" s="10"/>
      <c r="F287" s="25">
        <v>0.0</v>
      </c>
      <c r="G287" s="10"/>
    </row>
    <row r="288">
      <c r="A288" s="22"/>
      <c r="B288" s="10"/>
      <c r="C288" s="18" t="str">
        <f>IFERROR(VLOOKUP(B288, 'Project Master'!A:B, 2, FALSE), "")</f>
        <v/>
      </c>
      <c r="D288" s="10"/>
      <c r="E288" s="10"/>
      <c r="F288" s="25">
        <v>0.0</v>
      </c>
      <c r="G288" s="10"/>
    </row>
    <row r="289">
      <c r="A289" s="22"/>
      <c r="B289" s="10"/>
      <c r="C289" s="18" t="str">
        <f>IFERROR(VLOOKUP(B289, 'Project Master'!A:B, 2, FALSE), "")</f>
        <v/>
      </c>
      <c r="D289" s="10"/>
      <c r="E289" s="10"/>
      <c r="F289" s="25">
        <v>0.0</v>
      </c>
      <c r="G289" s="10"/>
    </row>
    <row r="290">
      <c r="A290" s="22"/>
      <c r="B290" s="10"/>
      <c r="C290" s="18" t="str">
        <f>IFERROR(VLOOKUP(B290, 'Project Master'!A:B, 2, FALSE), "")</f>
        <v/>
      </c>
      <c r="D290" s="10"/>
      <c r="E290" s="10"/>
      <c r="F290" s="25">
        <v>0.0</v>
      </c>
      <c r="G290" s="10"/>
    </row>
    <row r="291">
      <c r="A291" s="22"/>
      <c r="B291" s="10"/>
      <c r="C291" s="18" t="str">
        <f>IFERROR(VLOOKUP(B291, 'Project Master'!A:B, 2, FALSE), "")</f>
        <v/>
      </c>
      <c r="D291" s="10"/>
      <c r="E291" s="10"/>
      <c r="F291" s="25">
        <v>0.0</v>
      </c>
      <c r="G291" s="10"/>
    </row>
    <row r="292">
      <c r="A292" s="22"/>
      <c r="B292" s="10"/>
      <c r="C292" s="18" t="str">
        <f>IFERROR(VLOOKUP(B292, 'Project Master'!A:B, 2, FALSE), "")</f>
        <v/>
      </c>
      <c r="D292" s="10"/>
      <c r="E292" s="10"/>
      <c r="F292" s="25">
        <v>0.0</v>
      </c>
      <c r="G292" s="10"/>
    </row>
    <row r="293">
      <c r="A293" s="22"/>
      <c r="B293" s="10"/>
      <c r="C293" s="18" t="str">
        <f>IFERROR(VLOOKUP(B293, 'Project Master'!A:B, 2, FALSE), "")</f>
        <v/>
      </c>
      <c r="D293" s="10"/>
      <c r="E293" s="10"/>
      <c r="F293" s="25">
        <v>0.0</v>
      </c>
      <c r="G293" s="10"/>
    </row>
    <row r="294">
      <c r="A294" s="22"/>
      <c r="B294" s="10"/>
      <c r="C294" s="18" t="str">
        <f>IFERROR(VLOOKUP(B294, 'Project Master'!A:B, 2, FALSE), "")</f>
        <v/>
      </c>
      <c r="D294" s="10"/>
      <c r="E294" s="10"/>
      <c r="F294" s="25">
        <v>0.0</v>
      </c>
      <c r="G294" s="10"/>
    </row>
    <row r="295">
      <c r="A295" s="22"/>
      <c r="B295" s="10"/>
      <c r="C295" s="18" t="str">
        <f>IFERROR(VLOOKUP(B295, 'Project Master'!A:B, 2, FALSE), "")</f>
        <v/>
      </c>
      <c r="D295" s="10"/>
      <c r="E295" s="10"/>
      <c r="F295" s="25">
        <v>0.0</v>
      </c>
      <c r="G295" s="10"/>
    </row>
    <row r="296">
      <c r="A296" s="22"/>
      <c r="B296" s="10"/>
      <c r="C296" s="18" t="str">
        <f>IFERROR(VLOOKUP(B296, 'Project Master'!A:B, 2, FALSE), "")</f>
        <v/>
      </c>
      <c r="D296" s="10"/>
      <c r="E296" s="10"/>
      <c r="F296" s="25">
        <v>0.0</v>
      </c>
      <c r="G296" s="10"/>
    </row>
    <row r="297">
      <c r="A297" s="22"/>
      <c r="B297" s="10"/>
      <c r="C297" s="18" t="str">
        <f>IFERROR(VLOOKUP(B297, 'Project Master'!A:B, 2, FALSE), "")</f>
        <v/>
      </c>
      <c r="D297" s="10"/>
      <c r="E297" s="10"/>
      <c r="F297" s="25">
        <v>0.0</v>
      </c>
      <c r="G297" s="10"/>
    </row>
    <row r="298">
      <c r="A298" s="22"/>
      <c r="B298" s="10"/>
      <c r="C298" s="18" t="str">
        <f>IFERROR(VLOOKUP(B298, 'Project Master'!A:B, 2, FALSE), "")</f>
        <v/>
      </c>
      <c r="D298" s="10"/>
      <c r="E298" s="10"/>
      <c r="F298" s="25">
        <v>0.0</v>
      </c>
      <c r="G298" s="10"/>
    </row>
    <row r="299">
      <c r="A299" s="22"/>
      <c r="B299" s="10"/>
      <c r="C299" s="18" t="str">
        <f>IFERROR(VLOOKUP(B299, 'Project Master'!A:B, 2, FALSE), "")</f>
        <v/>
      </c>
      <c r="D299" s="10"/>
      <c r="E299" s="10"/>
      <c r="F299" s="25">
        <v>0.0</v>
      </c>
      <c r="G299" s="10"/>
    </row>
    <row r="300">
      <c r="A300" s="22"/>
      <c r="B300" s="10"/>
      <c r="C300" s="18" t="str">
        <f>IFERROR(VLOOKUP(B300, 'Project Master'!A:B, 2, FALSE), "")</f>
        <v/>
      </c>
      <c r="D300" s="10"/>
      <c r="E300" s="10"/>
      <c r="F300" s="25">
        <v>0.0</v>
      </c>
      <c r="G300" s="10"/>
    </row>
    <row r="301">
      <c r="A301" s="22"/>
      <c r="B301" s="10"/>
      <c r="C301" s="18" t="str">
        <f>IFERROR(VLOOKUP(B301, 'Project Master'!A:B, 2, FALSE), "")</f>
        <v/>
      </c>
      <c r="D301" s="10"/>
      <c r="E301" s="10"/>
      <c r="F301" s="25">
        <v>0.0</v>
      </c>
      <c r="G301" s="10"/>
    </row>
    <row r="302">
      <c r="A302" s="22"/>
      <c r="B302" s="10"/>
      <c r="C302" s="18" t="str">
        <f>IFERROR(VLOOKUP(B302, 'Project Master'!A:B, 2, FALSE), "")</f>
        <v/>
      </c>
      <c r="D302" s="10"/>
      <c r="E302" s="10"/>
      <c r="F302" s="25">
        <v>0.0</v>
      </c>
      <c r="G302" s="10"/>
    </row>
    <row r="303">
      <c r="A303" s="22"/>
      <c r="B303" s="10"/>
      <c r="C303" s="18" t="str">
        <f>IFERROR(VLOOKUP(B303, 'Project Master'!A:B, 2, FALSE), "")</f>
        <v/>
      </c>
      <c r="D303" s="10"/>
      <c r="E303" s="10"/>
      <c r="F303" s="25">
        <v>0.0</v>
      </c>
      <c r="G303" s="10"/>
    </row>
    <row r="304">
      <c r="A304" s="22"/>
      <c r="B304" s="10"/>
      <c r="C304" s="18" t="str">
        <f>IFERROR(VLOOKUP(B304, 'Project Master'!A:B, 2, FALSE), "")</f>
        <v/>
      </c>
      <c r="D304" s="10"/>
      <c r="E304" s="10"/>
      <c r="F304" s="25">
        <v>0.0</v>
      </c>
      <c r="G304" s="10"/>
    </row>
    <row r="305">
      <c r="A305" s="22"/>
      <c r="B305" s="10"/>
      <c r="C305" s="18" t="str">
        <f>IFERROR(VLOOKUP(B305, 'Project Master'!A:B, 2, FALSE), "")</f>
        <v/>
      </c>
      <c r="D305" s="10"/>
      <c r="E305" s="10"/>
      <c r="F305" s="25">
        <v>0.0</v>
      </c>
      <c r="G305" s="10"/>
    </row>
    <row r="306">
      <c r="A306" s="22"/>
      <c r="B306" s="10"/>
      <c r="C306" s="18" t="str">
        <f>IFERROR(VLOOKUP(B306, 'Project Master'!A:B, 2, FALSE), "")</f>
        <v/>
      </c>
      <c r="D306" s="10"/>
      <c r="E306" s="10"/>
      <c r="F306" s="25">
        <v>0.0</v>
      </c>
      <c r="G306" s="10"/>
    </row>
    <row r="307">
      <c r="A307" s="22"/>
      <c r="B307" s="10"/>
      <c r="C307" s="18" t="str">
        <f>IFERROR(VLOOKUP(B307, 'Project Master'!A:B, 2, FALSE), "")</f>
        <v/>
      </c>
      <c r="D307" s="10"/>
      <c r="E307" s="10"/>
      <c r="F307" s="25">
        <v>0.0</v>
      </c>
      <c r="G307" s="10"/>
    </row>
    <row r="308">
      <c r="A308" s="22"/>
      <c r="B308" s="10"/>
      <c r="C308" s="18" t="str">
        <f>IFERROR(VLOOKUP(B308, 'Project Master'!A:B, 2, FALSE), "")</f>
        <v/>
      </c>
      <c r="D308" s="10"/>
      <c r="E308" s="10"/>
      <c r="F308" s="25">
        <v>0.0</v>
      </c>
      <c r="G308" s="10"/>
    </row>
    <row r="309">
      <c r="A309" s="22"/>
      <c r="B309" s="10"/>
      <c r="C309" s="18" t="str">
        <f>IFERROR(VLOOKUP(B309, 'Project Master'!A:B, 2, FALSE), "")</f>
        <v/>
      </c>
      <c r="D309" s="10"/>
      <c r="E309" s="10"/>
      <c r="F309" s="25">
        <v>0.0</v>
      </c>
      <c r="G309" s="10"/>
    </row>
    <row r="310">
      <c r="A310" s="22"/>
      <c r="B310" s="10"/>
      <c r="C310" s="18" t="str">
        <f>IFERROR(VLOOKUP(B310, 'Project Master'!A:B, 2, FALSE), "")</f>
        <v/>
      </c>
      <c r="D310" s="10"/>
      <c r="E310" s="10"/>
      <c r="F310" s="25">
        <v>0.0</v>
      </c>
      <c r="G310" s="10"/>
    </row>
    <row r="311">
      <c r="A311" s="22"/>
      <c r="B311" s="10"/>
      <c r="C311" s="18" t="str">
        <f>IFERROR(VLOOKUP(B311, 'Project Master'!A:B, 2, FALSE), "")</f>
        <v/>
      </c>
      <c r="D311" s="10"/>
      <c r="E311" s="10"/>
      <c r="F311" s="25">
        <v>0.0</v>
      </c>
      <c r="G311" s="10"/>
    </row>
    <row r="312">
      <c r="A312" s="22"/>
      <c r="B312" s="10"/>
      <c r="C312" s="18" t="str">
        <f>IFERROR(VLOOKUP(B312, 'Project Master'!A:B, 2, FALSE), "")</f>
        <v/>
      </c>
      <c r="D312" s="10"/>
      <c r="E312" s="10"/>
      <c r="F312" s="25">
        <v>0.0</v>
      </c>
      <c r="G312" s="10"/>
    </row>
    <row r="313">
      <c r="A313" s="22"/>
      <c r="B313" s="10"/>
      <c r="C313" s="18" t="str">
        <f>IFERROR(VLOOKUP(B313, 'Project Master'!A:B, 2, FALSE), "")</f>
        <v/>
      </c>
      <c r="D313" s="10"/>
      <c r="E313" s="10"/>
      <c r="F313" s="25">
        <v>0.0</v>
      </c>
      <c r="G313" s="10"/>
    </row>
    <row r="314">
      <c r="A314" s="22"/>
      <c r="B314" s="10"/>
      <c r="C314" s="18" t="str">
        <f>IFERROR(VLOOKUP(B314, 'Project Master'!A:B, 2, FALSE), "")</f>
        <v/>
      </c>
      <c r="D314" s="10"/>
      <c r="E314" s="10"/>
      <c r="F314" s="25">
        <v>0.0</v>
      </c>
      <c r="G314" s="10"/>
    </row>
    <row r="315">
      <c r="A315" s="22"/>
      <c r="B315" s="10"/>
      <c r="C315" s="18" t="str">
        <f>IFERROR(VLOOKUP(B315, 'Project Master'!A:B, 2, FALSE), "")</f>
        <v/>
      </c>
      <c r="D315" s="10"/>
      <c r="E315" s="10"/>
      <c r="F315" s="25">
        <v>0.0</v>
      </c>
      <c r="G315" s="10"/>
    </row>
    <row r="316">
      <c r="A316" s="22"/>
      <c r="B316" s="10"/>
      <c r="C316" s="18" t="str">
        <f>IFERROR(VLOOKUP(B316, 'Project Master'!A:B, 2, FALSE), "")</f>
        <v/>
      </c>
      <c r="D316" s="10"/>
      <c r="E316" s="10"/>
      <c r="F316" s="25">
        <v>0.0</v>
      </c>
      <c r="G316" s="10"/>
    </row>
    <row r="317">
      <c r="A317" s="22"/>
      <c r="B317" s="10"/>
      <c r="C317" s="18" t="str">
        <f>IFERROR(VLOOKUP(B317, 'Project Master'!A:B, 2, FALSE), "")</f>
        <v/>
      </c>
      <c r="D317" s="10"/>
      <c r="E317" s="10"/>
      <c r="F317" s="25">
        <v>0.0</v>
      </c>
      <c r="G317" s="10"/>
    </row>
    <row r="318">
      <c r="A318" s="22"/>
      <c r="B318" s="10"/>
      <c r="C318" s="18" t="str">
        <f>IFERROR(VLOOKUP(B318, 'Project Master'!A:B, 2, FALSE), "")</f>
        <v/>
      </c>
      <c r="D318" s="10"/>
      <c r="E318" s="10"/>
      <c r="F318" s="25">
        <v>0.0</v>
      </c>
      <c r="G318" s="10"/>
    </row>
    <row r="319">
      <c r="A319" s="22"/>
      <c r="B319" s="10"/>
      <c r="C319" s="18" t="str">
        <f>IFERROR(VLOOKUP(B319, 'Project Master'!A:B, 2, FALSE), "")</f>
        <v/>
      </c>
      <c r="D319" s="10"/>
      <c r="E319" s="10"/>
      <c r="F319" s="25">
        <v>0.0</v>
      </c>
      <c r="G319" s="10"/>
    </row>
    <row r="320">
      <c r="A320" s="22"/>
      <c r="B320" s="10"/>
      <c r="C320" s="18" t="str">
        <f>IFERROR(VLOOKUP(B320, 'Project Master'!A:B, 2, FALSE), "")</f>
        <v/>
      </c>
      <c r="D320" s="10"/>
      <c r="E320" s="10"/>
      <c r="F320" s="25">
        <v>0.0</v>
      </c>
      <c r="G320" s="10"/>
    </row>
    <row r="321">
      <c r="A321" s="22"/>
      <c r="B321" s="10"/>
      <c r="C321" s="18" t="str">
        <f>IFERROR(VLOOKUP(B321, 'Project Master'!A:B, 2, FALSE), "")</f>
        <v/>
      </c>
      <c r="D321" s="10"/>
      <c r="E321" s="10"/>
      <c r="F321" s="25">
        <v>0.0</v>
      </c>
      <c r="G321" s="10"/>
    </row>
    <row r="322">
      <c r="A322" s="22"/>
      <c r="B322" s="10"/>
      <c r="C322" s="18" t="str">
        <f>IFERROR(VLOOKUP(B322, 'Project Master'!A:B, 2, FALSE), "")</f>
        <v/>
      </c>
      <c r="D322" s="10"/>
      <c r="E322" s="10"/>
      <c r="F322" s="25">
        <v>0.0</v>
      </c>
      <c r="G322" s="10"/>
    </row>
    <row r="323">
      <c r="A323" s="22"/>
      <c r="B323" s="10"/>
      <c r="C323" s="18" t="str">
        <f>IFERROR(VLOOKUP(B323, 'Project Master'!A:B, 2, FALSE), "")</f>
        <v/>
      </c>
      <c r="D323" s="10"/>
      <c r="E323" s="10"/>
      <c r="F323" s="25">
        <v>0.0</v>
      </c>
      <c r="G323" s="10"/>
    </row>
    <row r="324">
      <c r="A324" s="22"/>
      <c r="B324" s="10"/>
      <c r="C324" s="18" t="str">
        <f>IFERROR(VLOOKUP(B324, 'Project Master'!A:B, 2, FALSE), "")</f>
        <v/>
      </c>
      <c r="D324" s="10"/>
      <c r="E324" s="10"/>
      <c r="F324" s="25">
        <v>0.0</v>
      </c>
      <c r="G324" s="10"/>
    </row>
    <row r="325">
      <c r="A325" s="22"/>
      <c r="B325" s="10"/>
      <c r="C325" s="18" t="str">
        <f>IFERROR(VLOOKUP(B325, 'Project Master'!A:B, 2, FALSE), "")</f>
        <v/>
      </c>
      <c r="D325" s="10"/>
      <c r="E325" s="10"/>
      <c r="F325" s="25">
        <v>0.0</v>
      </c>
      <c r="G325" s="10"/>
    </row>
    <row r="326">
      <c r="A326" s="22"/>
      <c r="B326" s="10"/>
      <c r="C326" s="18" t="str">
        <f>IFERROR(VLOOKUP(B326, 'Project Master'!A:B, 2, FALSE), "")</f>
        <v/>
      </c>
      <c r="D326" s="10"/>
      <c r="E326" s="10"/>
      <c r="F326" s="25">
        <v>0.0</v>
      </c>
      <c r="G326" s="10"/>
    </row>
    <row r="327">
      <c r="A327" s="22"/>
      <c r="B327" s="10"/>
      <c r="C327" s="18" t="str">
        <f>IFERROR(VLOOKUP(B327, 'Project Master'!A:B, 2, FALSE), "")</f>
        <v/>
      </c>
      <c r="D327" s="10"/>
      <c r="E327" s="10"/>
      <c r="F327" s="25">
        <v>0.0</v>
      </c>
      <c r="G327" s="10"/>
    </row>
    <row r="328">
      <c r="A328" s="22"/>
      <c r="B328" s="10"/>
      <c r="C328" s="18" t="str">
        <f>IFERROR(VLOOKUP(B328, 'Project Master'!A:B, 2, FALSE), "")</f>
        <v/>
      </c>
      <c r="D328" s="10"/>
      <c r="E328" s="10"/>
      <c r="F328" s="25">
        <v>0.0</v>
      </c>
      <c r="G328" s="10"/>
    </row>
    <row r="329">
      <c r="A329" s="22"/>
      <c r="B329" s="10"/>
      <c r="C329" s="18" t="str">
        <f>IFERROR(VLOOKUP(B329, 'Project Master'!A:B, 2, FALSE), "")</f>
        <v/>
      </c>
      <c r="D329" s="10"/>
      <c r="E329" s="10"/>
      <c r="F329" s="25">
        <v>0.0</v>
      </c>
      <c r="G329" s="10"/>
    </row>
    <row r="330">
      <c r="A330" s="22"/>
      <c r="B330" s="10"/>
      <c r="C330" s="18" t="str">
        <f>IFERROR(VLOOKUP(B330, 'Project Master'!A:B, 2, FALSE), "")</f>
        <v/>
      </c>
      <c r="D330" s="10"/>
      <c r="E330" s="10"/>
      <c r="F330" s="25">
        <v>0.0</v>
      </c>
      <c r="G330" s="10"/>
    </row>
    <row r="331">
      <c r="A331" s="22"/>
      <c r="B331" s="10"/>
      <c r="C331" s="18" t="str">
        <f>IFERROR(VLOOKUP(B331, 'Project Master'!A:B, 2, FALSE), "")</f>
        <v/>
      </c>
      <c r="D331" s="10"/>
      <c r="E331" s="10"/>
      <c r="F331" s="25">
        <v>0.0</v>
      </c>
      <c r="G331" s="10"/>
    </row>
    <row r="332">
      <c r="A332" s="22"/>
      <c r="B332" s="10"/>
      <c r="C332" s="18" t="str">
        <f>IFERROR(VLOOKUP(B332, 'Project Master'!A:B, 2, FALSE), "")</f>
        <v/>
      </c>
      <c r="D332" s="10"/>
      <c r="E332" s="10"/>
      <c r="F332" s="25">
        <v>0.0</v>
      </c>
      <c r="G332" s="10"/>
    </row>
    <row r="333">
      <c r="A333" s="22"/>
      <c r="B333" s="10"/>
      <c r="C333" s="18" t="str">
        <f>IFERROR(VLOOKUP(B333, 'Project Master'!A:B, 2, FALSE), "")</f>
        <v/>
      </c>
      <c r="D333" s="10"/>
      <c r="E333" s="10"/>
      <c r="F333" s="25">
        <v>0.0</v>
      </c>
      <c r="G333" s="10"/>
    </row>
    <row r="334">
      <c r="A334" s="22"/>
      <c r="B334" s="10"/>
      <c r="C334" s="18" t="str">
        <f>IFERROR(VLOOKUP(B334, 'Project Master'!A:B, 2, FALSE), "")</f>
        <v/>
      </c>
      <c r="D334" s="10"/>
      <c r="E334" s="10"/>
      <c r="F334" s="25">
        <v>0.0</v>
      </c>
      <c r="G334" s="10"/>
    </row>
    <row r="335">
      <c r="A335" s="22"/>
      <c r="B335" s="10"/>
      <c r="C335" s="18" t="str">
        <f>IFERROR(VLOOKUP(B335, 'Project Master'!A:B, 2, FALSE), "")</f>
        <v/>
      </c>
      <c r="D335" s="10"/>
      <c r="E335" s="10"/>
      <c r="F335" s="25">
        <v>0.0</v>
      </c>
      <c r="G335" s="10"/>
    </row>
    <row r="336">
      <c r="A336" s="22"/>
      <c r="B336" s="10"/>
      <c r="C336" s="18" t="str">
        <f>IFERROR(VLOOKUP(B336, 'Project Master'!A:B, 2, FALSE), "")</f>
        <v/>
      </c>
      <c r="D336" s="10"/>
      <c r="E336" s="10"/>
      <c r="F336" s="25">
        <v>0.0</v>
      </c>
      <c r="G336" s="10"/>
    </row>
    <row r="337">
      <c r="A337" s="22"/>
      <c r="B337" s="10"/>
      <c r="C337" s="18" t="str">
        <f>IFERROR(VLOOKUP(B337, 'Project Master'!A:B, 2, FALSE), "")</f>
        <v/>
      </c>
      <c r="D337" s="10"/>
      <c r="E337" s="10"/>
      <c r="F337" s="25">
        <v>0.0</v>
      </c>
      <c r="G337" s="10"/>
    </row>
    <row r="338">
      <c r="A338" s="22"/>
      <c r="B338" s="10"/>
      <c r="C338" s="18" t="str">
        <f>IFERROR(VLOOKUP(B338, 'Project Master'!A:B, 2, FALSE), "")</f>
        <v/>
      </c>
      <c r="D338" s="10"/>
      <c r="E338" s="10"/>
      <c r="F338" s="25">
        <v>0.0</v>
      </c>
      <c r="G338" s="10"/>
    </row>
    <row r="339">
      <c r="A339" s="22"/>
      <c r="B339" s="10"/>
      <c r="C339" s="18" t="str">
        <f>IFERROR(VLOOKUP(B339, 'Project Master'!A:B, 2, FALSE), "")</f>
        <v/>
      </c>
      <c r="D339" s="10"/>
      <c r="E339" s="10"/>
      <c r="F339" s="25">
        <v>0.0</v>
      </c>
      <c r="G339" s="10"/>
    </row>
    <row r="340">
      <c r="A340" s="22"/>
      <c r="B340" s="10"/>
      <c r="C340" s="18" t="str">
        <f>IFERROR(VLOOKUP(B340, 'Project Master'!A:B, 2, FALSE), "")</f>
        <v/>
      </c>
      <c r="D340" s="10"/>
      <c r="E340" s="10"/>
      <c r="F340" s="25">
        <v>0.0</v>
      </c>
      <c r="G340" s="10"/>
    </row>
    <row r="341">
      <c r="A341" s="22"/>
      <c r="B341" s="10"/>
      <c r="C341" s="18" t="str">
        <f>IFERROR(VLOOKUP(B341, 'Project Master'!A:B, 2, FALSE), "")</f>
        <v/>
      </c>
      <c r="D341" s="10"/>
      <c r="E341" s="10"/>
      <c r="F341" s="25">
        <v>0.0</v>
      </c>
      <c r="G341" s="10"/>
    </row>
    <row r="342">
      <c r="A342" s="22"/>
      <c r="B342" s="10"/>
      <c r="C342" s="18" t="str">
        <f>IFERROR(VLOOKUP(B342, 'Project Master'!A:B, 2, FALSE), "")</f>
        <v/>
      </c>
      <c r="D342" s="10"/>
      <c r="E342" s="10"/>
      <c r="F342" s="25">
        <v>0.0</v>
      </c>
      <c r="G342" s="10"/>
    </row>
    <row r="343">
      <c r="A343" s="22"/>
      <c r="B343" s="10"/>
      <c r="C343" s="18" t="str">
        <f>IFERROR(VLOOKUP(B343, 'Project Master'!A:B, 2, FALSE), "")</f>
        <v/>
      </c>
      <c r="D343" s="10"/>
      <c r="E343" s="10"/>
      <c r="F343" s="25">
        <v>0.0</v>
      </c>
      <c r="G343" s="10"/>
    </row>
    <row r="344">
      <c r="A344" s="22"/>
      <c r="B344" s="10"/>
      <c r="C344" s="18" t="str">
        <f>IFERROR(VLOOKUP(B344, 'Project Master'!A:B, 2, FALSE), "")</f>
        <v/>
      </c>
      <c r="D344" s="10"/>
      <c r="E344" s="10"/>
      <c r="F344" s="25">
        <v>0.0</v>
      </c>
      <c r="G344" s="10"/>
    </row>
    <row r="345">
      <c r="A345" s="22"/>
      <c r="B345" s="10"/>
      <c r="C345" s="18" t="str">
        <f>IFERROR(VLOOKUP(B345, 'Project Master'!A:B, 2, FALSE), "")</f>
        <v/>
      </c>
      <c r="D345" s="10"/>
      <c r="E345" s="10"/>
      <c r="F345" s="25">
        <v>0.0</v>
      </c>
      <c r="G345" s="10"/>
    </row>
    <row r="346">
      <c r="A346" s="22"/>
      <c r="B346" s="10"/>
      <c r="C346" s="18" t="str">
        <f>IFERROR(VLOOKUP(B346, 'Project Master'!A:B, 2, FALSE), "")</f>
        <v/>
      </c>
      <c r="D346" s="10"/>
      <c r="E346" s="10"/>
      <c r="F346" s="25">
        <v>0.0</v>
      </c>
      <c r="G346" s="10"/>
    </row>
    <row r="347">
      <c r="A347" s="22"/>
      <c r="B347" s="10"/>
      <c r="C347" s="18" t="str">
        <f>IFERROR(VLOOKUP(B347, 'Project Master'!A:B, 2, FALSE), "")</f>
        <v/>
      </c>
      <c r="D347" s="10"/>
      <c r="E347" s="10"/>
      <c r="F347" s="25">
        <v>0.0</v>
      </c>
      <c r="G347" s="10"/>
    </row>
    <row r="348">
      <c r="A348" s="22"/>
      <c r="B348" s="10"/>
      <c r="C348" s="18" t="str">
        <f>IFERROR(VLOOKUP(B348, 'Project Master'!A:B, 2, FALSE), "")</f>
        <v/>
      </c>
      <c r="D348" s="10"/>
      <c r="E348" s="10"/>
      <c r="F348" s="25">
        <v>0.0</v>
      </c>
      <c r="G348" s="10"/>
    </row>
    <row r="349">
      <c r="A349" s="22"/>
      <c r="B349" s="10"/>
      <c r="C349" s="18" t="str">
        <f>IFERROR(VLOOKUP(B349, 'Project Master'!A:B, 2, FALSE), "")</f>
        <v/>
      </c>
      <c r="D349" s="10"/>
      <c r="E349" s="10"/>
      <c r="F349" s="25">
        <v>0.0</v>
      </c>
      <c r="G349" s="10"/>
    </row>
    <row r="350">
      <c r="A350" s="22"/>
      <c r="B350" s="10"/>
      <c r="C350" s="18" t="str">
        <f>IFERROR(VLOOKUP(B350, 'Project Master'!A:B, 2, FALSE), "")</f>
        <v/>
      </c>
      <c r="D350" s="10"/>
      <c r="E350" s="10"/>
      <c r="F350" s="25">
        <v>0.0</v>
      </c>
      <c r="G350" s="10"/>
    </row>
    <row r="351">
      <c r="A351" s="22"/>
      <c r="B351" s="10"/>
      <c r="C351" s="18" t="str">
        <f>IFERROR(VLOOKUP(B351, 'Project Master'!A:B, 2, FALSE), "")</f>
        <v/>
      </c>
      <c r="D351" s="10"/>
      <c r="E351" s="10"/>
      <c r="F351" s="25">
        <v>0.0</v>
      </c>
      <c r="G351" s="10"/>
    </row>
    <row r="352">
      <c r="A352" s="22"/>
      <c r="B352" s="10"/>
      <c r="C352" s="18" t="str">
        <f>IFERROR(VLOOKUP(B352, 'Project Master'!A:B, 2, FALSE), "")</f>
        <v/>
      </c>
      <c r="D352" s="10"/>
      <c r="E352" s="10"/>
      <c r="F352" s="25">
        <v>0.0</v>
      </c>
      <c r="G352" s="10"/>
    </row>
    <row r="353">
      <c r="A353" s="22"/>
      <c r="B353" s="10"/>
      <c r="C353" s="18" t="str">
        <f>IFERROR(VLOOKUP(B353, 'Project Master'!A:B, 2, FALSE), "")</f>
        <v/>
      </c>
      <c r="D353" s="10"/>
      <c r="E353" s="10"/>
      <c r="F353" s="25">
        <v>0.0</v>
      </c>
      <c r="G353" s="10"/>
    </row>
    <row r="354">
      <c r="A354" s="22"/>
      <c r="B354" s="10"/>
      <c r="C354" s="18" t="str">
        <f>IFERROR(VLOOKUP(B354, 'Project Master'!A:B, 2, FALSE), "")</f>
        <v/>
      </c>
      <c r="D354" s="10"/>
      <c r="E354" s="10"/>
      <c r="F354" s="25">
        <v>0.0</v>
      </c>
      <c r="G354" s="10"/>
    </row>
    <row r="355">
      <c r="A355" s="22"/>
      <c r="B355" s="10"/>
      <c r="C355" s="18" t="str">
        <f>IFERROR(VLOOKUP(B355, 'Project Master'!A:B, 2, FALSE), "")</f>
        <v/>
      </c>
      <c r="D355" s="10"/>
      <c r="E355" s="10"/>
      <c r="F355" s="25">
        <v>0.0</v>
      </c>
      <c r="G355" s="10"/>
    </row>
    <row r="356">
      <c r="A356" s="22"/>
      <c r="B356" s="10"/>
      <c r="C356" s="18" t="str">
        <f>IFERROR(VLOOKUP(B356, 'Project Master'!A:B, 2, FALSE), "")</f>
        <v/>
      </c>
      <c r="D356" s="10"/>
      <c r="E356" s="10"/>
      <c r="F356" s="25">
        <v>0.0</v>
      </c>
      <c r="G356" s="10"/>
    </row>
    <row r="357">
      <c r="A357" s="22"/>
      <c r="B357" s="10"/>
      <c r="C357" s="18" t="str">
        <f>IFERROR(VLOOKUP(B357, 'Project Master'!A:B, 2, FALSE), "")</f>
        <v/>
      </c>
      <c r="D357" s="10"/>
      <c r="E357" s="10"/>
      <c r="F357" s="25">
        <v>0.0</v>
      </c>
      <c r="G357" s="10"/>
    </row>
    <row r="358">
      <c r="A358" s="22"/>
      <c r="B358" s="10"/>
      <c r="C358" s="18" t="str">
        <f>IFERROR(VLOOKUP(B358, 'Project Master'!A:B, 2, FALSE), "")</f>
        <v/>
      </c>
      <c r="D358" s="10"/>
      <c r="E358" s="10"/>
      <c r="F358" s="25">
        <v>0.0</v>
      </c>
      <c r="G358" s="10"/>
    </row>
    <row r="359">
      <c r="A359" s="22"/>
      <c r="B359" s="10"/>
      <c r="C359" s="18" t="str">
        <f>IFERROR(VLOOKUP(B359, 'Project Master'!A:B, 2, FALSE), "")</f>
        <v/>
      </c>
      <c r="D359" s="10"/>
      <c r="E359" s="10"/>
      <c r="F359" s="25">
        <v>0.0</v>
      </c>
      <c r="G359" s="10"/>
    </row>
    <row r="360">
      <c r="A360" s="22"/>
      <c r="B360" s="10"/>
      <c r="C360" s="18" t="str">
        <f>IFERROR(VLOOKUP(B360, 'Project Master'!A:B, 2, FALSE), "")</f>
        <v/>
      </c>
      <c r="D360" s="10"/>
      <c r="E360" s="10"/>
      <c r="F360" s="25">
        <v>0.0</v>
      </c>
      <c r="G360" s="10"/>
    </row>
    <row r="361">
      <c r="A361" s="22"/>
      <c r="B361" s="10"/>
      <c r="C361" s="18" t="str">
        <f>IFERROR(VLOOKUP(B361, 'Project Master'!A:B, 2, FALSE), "")</f>
        <v/>
      </c>
      <c r="D361" s="10"/>
      <c r="E361" s="10"/>
      <c r="F361" s="25">
        <v>0.0</v>
      </c>
      <c r="G361" s="10"/>
    </row>
    <row r="362">
      <c r="A362" s="22"/>
      <c r="B362" s="10"/>
      <c r="C362" s="18" t="str">
        <f>IFERROR(VLOOKUP(B362, 'Project Master'!A:B, 2, FALSE), "")</f>
        <v/>
      </c>
      <c r="D362" s="10"/>
      <c r="E362" s="10"/>
      <c r="F362" s="25">
        <v>0.0</v>
      </c>
      <c r="G362" s="10"/>
    </row>
    <row r="363">
      <c r="A363" s="22"/>
      <c r="B363" s="10"/>
      <c r="C363" s="18" t="str">
        <f>IFERROR(VLOOKUP(B363, 'Project Master'!A:B, 2, FALSE), "")</f>
        <v/>
      </c>
      <c r="D363" s="10"/>
      <c r="E363" s="10"/>
      <c r="F363" s="25">
        <v>0.0</v>
      </c>
      <c r="G363" s="10"/>
    </row>
    <row r="364">
      <c r="A364" s="22"/>
      <c r="B364" s="10"/>
      <c r="C364" s="18" t="str">
        <f>IFERROR(VLOOKUP(B364, 'Project Master'!A:B, 2, FALSE), "")</f>
        <v/>
      </c>
      <c r="D364" s="10"/>
      <c r="E364" s="10"/>
      <c r="F364" s="25">
        <v>0.0</v>
      </c>
      <c r="G364" s="10"/>
    </row>
    <row r="365">
      <c r="A365" s="22"/>
      <c r="B365" s="10"/>
      <c r="C365" s="18" t="str">
        <f>IFERROR(VLOOKUP(B365, 'Project Master'!A:B, 2, FALSE), "")</f>
        <v/>
      </c>
      <c r="D365" s="10"/>
      <c r="E365" s="10"/>
      <c r="F365" s="25">
        <v>0.0</v>
      </c>
      <c r="G365" s="10"/>
    </row>
    <row r="366">
      <c r="A366" s="22"/>
      <c r="B366" s="10"/>
      <c r="C366" s="18" t="str">
        <f>IFERROR(VLOOKUP(B366, 'Project Master'!A:B, 2, FALSE), "")</f>
        <v/>
      </c>
      <c r="D366" s="10"/>
      <c r="E366" s="10"/>
      <c r="F366" s="25">
        <v>0.0</v>
      </c>
      <c r="G366" s="10"/>
    </row>
    <row r="367">
      <c r="A367" s="22"/>
      <c r="B367" s="10"/>
      <c r="C367" s="18" t="str">
        <f>IFERROR(VLOOKUP(B367, 'Project Master'!A:B, 2, FALSE), "")</f>
        <v/>
      </c>
      <c r="D367" s="10"/>
      <c r="E367" s="10"/>
      <c r="F367" s="25">
        <v>0.0</v>
      </c>
      <c r="G367" s="10"/>
    </row>
    <row r="368">
      <c r="A368" s="22"/>
      <c r="B368" s="10"/>
      <c r="C368" s="18" t="str">
        <f>IFERROR(VLOOKUP(B368, 'Project Master'!A:B, 2, FALSE), "")</f>
        <v/>
      </c>
      <c r="D368" s="10"/>
      <c r="E368" s="10"/>
      <c r="F368" s="25">
        <v>0.0</v>
      </c>
      <c r="G368" s="10"/>
    </row>
    <row r="369">
      <c r="A369" s="22"/>
      <c r="B369" s="10"/>
      <c r="C369" s="18" t="str">
        <f>IFERROR(VLOOKUP(B369, 'Project Master'!A:B, 2, FALSE), "")</f>
        <v/>
      </c>
      <c r="D369" s="10"/>
      <c r="E369" s="10"/>
      <c r="F369" s="25">
        <v>0.0</v>
      </c>
      <c r="G369" s="10"/>
    </row>
    <row r="370">
      <c r="A370" s="22"/>
      <c r="B370" s="10"/>
      <c r="C370" s="18" t="str">
        <f>IFERROR(VLOOKUP(B370, 'Project Master'!A:B, 2, FALSE), "")</f>
        <v/>
      </c>
      <c r="D370" s="10"/>
      <c r="E370" s="10"/>
      <c r="F370" s="25">
        <v>0.0</v>
      </c>
      <c r="G370" s="10"/>
    </row>
    <row r="371">
      <c r="A371" s="22"/>
      <c r="B371" s="10"/>
      <c r="C371" s="18" t="str">
        <f>IFERROR(VLOOKUP(B371, 'Project Master'!A:B, 2, FALSE), "")</f>
        <v/>
      </c>
      <c r="D371" s="10"/>
      <c r="E371" s="10"/>
      <c r="F371" s="25">
        <v>0.0</v>
      </c>
      <c r="G371" s="10"/>
    </row>
    <row r="372">
      <c r="A372" s="22"/>
      <c r="B372" s="10"/>
      <c r="C372" s="18" t="str">
        <f>IFERROR(VLOOKUP(B372, 'Project Master'!A:B, 2, FALSE), "")</f>
        <v/>
      </c>
      <c r="D372" s="10"/>
      <c r="E372" s="10"/>
      <c r="F372" s="25">
        <v>0.0</v>
      </c>
      <c r="G372" s="10"/>
    </row>
    <row r="373">
      <c r="A373" s="22"/>
      <c r="B373" s="10"/>
      <c r="C373" s="18" t="str">
        <f>IFERROR(VLOOKUP(B373, 'Project Master'!A:B, 2, FALSE), "")</f>
        <v/>
      </c>
      <c r="D373" s="10"/>
      <c r="E373" s="10"/>
      <c r="F373" s="25">
        <v>0.0</v>
      </c>
      <c r="G373" s="10"/>
    </row>
    <row r="374">
      <c r="A374" s="22"/>
      <c r="B374" s="10"/>
      <c r="C374" s="18" t="str">
        <f>IFERROR(VLOOKUP(B374, 'Project Master'!A:B, 2, FALSE), "")</f>
        <v/>
      </c>
      <c r="D374" s="10"/>
      <c r="E374" s="10"/>
      <c r="F374" s="25">
        <v>0.0</v>
      </c>
      <c r="G374" s="10"/>
    </row>
    <row r="375">
      <c r="A375" s="22"/>
      <c r="B375" s="10"/>
      <c r="C375" s="18" t="str">
        <f>IFERROR(VLOOKUP(B375, 'Project Master'!A:B, 2, FALSE), "")</f>
        <v/>
      </c>
      <c r="D375" s="10"/>
      <c r="E375" s="10"/>
      <c r="F375" s="25">
        <v>0.0</v>
      </c>
      <c r="G375" s="10"/>
    </row>
    <row r="376">
      <c r="A376" s="22"/>
      <c r="B376" s="10"/>
      <c r="C376" s="18" t="str">
        <f>IFERROR(VLOOKUP(B376, 'Project Master'!A:B, 2, FALSE), "")</f>
        <v/>
      </c>
      <c r="D376" s="10"/>
      <c r="E376" s="10"/>
      <c r="F376" s="25">
        <v>0.0</v>
      </c>
      <c r="G376" s="10"/>
    </row>
    <row r="377">
      <c r="A377" s="22"/>
      <c r="B377" s="10"/>
      <c r="C377" s="18" t="str">
        <f>IFERROR(VLOOKUP(B377, 'Project Master'!A:B, 2, FALSE), "")</f>
        <v/>
      </c>
      <c r="D377" s="10"/>
      <c r="E377" s="10"/>
      <c r="F377" s="25">
        <v>0.0</v>
      </c>
      <c r="G377" s="10"/>
    </row>
    <row r="378">
      <c r="A378" s="22"/>
      <c r="B378" s="10"/>
      <c r="C378" s="18" t="str">
        <f>IFERROR(VLOOKUP(B378, 'Project Master'!A:B, 2, FALSE), "")</f>
        <v/>
      </c>
      <c r="D378" s="10"/>
      <c r="E378" s="10"/>
      <c r="F378" s="25">
        <v>0.0</v>
      </c>
      <c r="G378" s="10"/>
    </row>
    <row r="379">
      <c r="A379" s="22"/>
      <c r="B379" s="10"/>
      <c r="C379" s="18" t="str">
        <f>IFERROR(VLOOKUP(B379, 'Project Master'!A:B, 2, FALSE), "")</f>
        <v/>
      </c>
      <c r="D379" s="10"/>
      <c r="E379" s="10"/>
      <c r="F379" s="25">
        <v>0.0</v>
      </c>
      <c r="G379" s="10"/>
    </row>
    <row r="380">
      <c r="A380" s="22"/>
      <c r="B380" s="10"/>
      <c r="C380" s="18" t="str">
        <f>IFERROR(VLOOKUP(B380, 'Project Master'!A:B, 2, FALSE), "")</f>
        <v/>
      </c>
      <c r="D380" s="10"/>
      <c r="E380" s="10"/>
      <c r="F380" s="25">
        <v>0.0</v>
      </c>
      <c r="G380" s="10"/>
    </row>
    <row r="381">
      <c r="A381" s="22"/>
      <c r="B381" s="10"/>
      <c r="C381" s="18" t="str">
        <f>IFERROR(VLOOKUP(B381, 'Project Master'!A:B, 2, FALSE), "")</f>
        <v/>
      </c>
      <c r="D381" s="10"/>
      <c r="E381" s="10"/>
      <c r="F381" s="25">
        <v>0.0</v>
      </c>
      <c r="G381" s="10"/>
    </row>
    <row r="382">
      <c r="A382" s="22"/>
      <c r="B382" s="10"/>
      <c r="C382" s="18" t="str">
        <f>IFERROR(VLOOKUP(B382, 'Project Master'!A:B, 2, FALSE), "")</f>
        <v/>
      </c>
      <c r="D382" s="10"/>
      <c r="E382" s="10"/>
      <c r="F382" s="25">
        <v>0.0</v>
      </c>
      <c r="G382" s="10"/>
    </row>
    <row r="383">
      <c r="A383" s="22"/>
      <c r="B383" s="10"/>
      <c r="C383" s="18" t="str">
        <f>IFERROR(VLOOKUP(B383, 'Project Master'!A:B, 2, FALSE), "")</f>
        <v/>
      </c>
      <c r="D383" s="10"/>
      <c r="E383" s="10"/>
      <c r="F383" s="25">
        <v>0.0</v>
      </c>
      <c r="G383" s="10"/>
    </row>
    <row r="384">
      <c r="A384" s="22"/>
      <c r="B384" s="10"/>
      <c r="C384" s="18" t="str">
        <f>IFERROR(VLOOKUP(B384, 'Project Master'!A:B, 2, FALSE), "")</f>
        <v/>
      </c>
      <c r="D384" s="10"/>
      <c r="E384" s="10"/>
      <c r="F384" s="25">
        <v>0.0</v>
      </c>
      <c r="G384" s="10"/>
    </row>
    <row r="385">
      <c r="A385" s="22"/>
      <c r="B385" s="10"/>
      <c r="C385" s="18" t="str">
        <f>IFERROR(VLOOKUP(B385, 'Project Master'!A:B, 2, FALSE), "")</f>
        <v/>
      </c>
      <c r="D385" s="10"/>
      <c r="E385" s="10"/>
      <c r="F385" s="25">
        <v>0.0</v>
      </c>
      <c r="G385" s="10"/>
    </row>
    <row r="386">
      <c r="A386" s="22"/>
      <c r="B386" s="10"/>
      <c r="C386" s="18" t="str">
        <f>IFERROR(VLOOKUP(B386, 'Project Master'!A:B, 2, FALSE), "")</f>
        <v/>
      </c>
      <c r="D386" s="10"/>
      <c r="E386" s="10"/>
      <c r="F386" s="25">
        <v>0.0</v>
      </c>
      <c r="G386" s="10"/>
    </row>
    <row r="387">
      <c r="A387" s="22"/>
      <c r="B387" s="10"/>
      <c r="C387" s="18" t="str">
        <f>IFERROR(VLOOKUP(B387, 'Project Master'!A:B, 2, FALSE), "")</f>
        <v/>
      </c>
      <c r="D387" s="10"/>
      <c r="E387" s="10"/>
      <c r="F387" s="25">
        <v>0.0</v>
      </c>
      <c r="G387" s="10"/>
    </row>
    <row r="388">
      <c r="A388" s="22"/>
      <c r="B388" s="10"/>
      <c r="C388" s="18" t="str">
        <f>IFERROR(VLOOKUP(B388, 'Project Master'!A:B, 2, FALSE), "")</f>
        <v/>
      </c>
      <c r="D388" s="10"/>
      <c r="E388" s="10"/>
      <c r="F388" s="25">
        <v>0.0</v>
      </c>
      <c r="G388" s="10"/>
    </row>
    <row r="389">
      <c r="A389" s="22"/>
      <c r="B389" s="10"/>
      <c r="C389" s="18" t="str">
        <f>IFERROR(VLOOKUP(B389, 'Project Master'!A:B, 2, FALSE), "")</f>
        <v/>
      </c>
      <c r="D389" s="10"/>
      <c r="E389" s="10"/>
      <c r="F389" s="25">
        <v>0.0</v>
      </c>
      <c r="G389" s="10"/>
    </row>
    <row r="390">
      <c r="A390" s="22"/>
      <c r="B390" s="10"/>
      <c r="C390" s="18" t="str">
        <f>IFERROR(VLOOKUP(B390, 'Project Master'!A:B, 2, FALSE), "")</f>
        <v/>
      </c>
      <c r="D390" s="10"/>
      <c r="E390" s="10"/>
      <c r="F390" s="25">
        <v>0.0</v>
      </c>
      <c r="G390" s="10"/>
    </row>
    <row r="391">
      <c r="A391" s="22"/>
      <c r="B391" s="10"/>
      <c r="C391" s="18" t="str">
        <f>IFERROR(VLOOKUP(B391, 'Project Master'!A:B, 2, FALSE), "")</f>
        <v/>
      </c>
      <c r="D391" s="10"/>
      <c r="E391" s="10"/>
      <c r="F391" s="25">
        <v>0.0</v>
      </c>
      <c r="G391" s="10"/>
    </row>
    <row r="392">
      <c r="A392" s="22"/>
      <c r="B392" s="10"/>
      <c r="C392" s="18" t="str">
        <f>IFERROR(VLOOKUP(B392, 'Project Master'!A:B, 2, FALSE), "")</f>
        <v/>
      </c>
      <c r="D392" s="10"/>
      <c r="E392" s="10"/>
      <c r="F392" s="25">
        <v>0.0</v>
      </c>
      <c r="G392" s="10"/>
    </row>
    <row r="393">
      <c r="A393" s="22"/>
      <c r="B393" s="10"/>
      <c r="C393" s="18" t="str">
        <f>IFERROR(VLOOKUP(B393, 'Project Master'!A:B, 2, FALSE), "")</f>
        <v/>
      </c>
      <c r="D393" s="10"/>
      <c r="E393" s="10"/>
      <c r="F393" s="25">
        <v>0.0</v>
      </c>
      <c r="G393" s="10"/>
    </row>
    <row r="394">
      <c r="A394" s="22"/>
      <c r="B394" s="10"/>
      <c r="C394" s="18" t="str">
        <f>IFERROR(VLOOKUP(B394, 'Project Master'!A:B, 2, FALSE), "")</f>
        <v/>
      </c>
      <c r="D394" s="10"/>
      <c r="E394" s="10"/>
      <c r="F394" s="25">
        <v>0.0</v>
      </c>
      <c r="G394" s="10"/>
    </row>
    <row r="395">
      <c r="A395" s="22"/>
      <c r="B395" s="10"/>
      <c r="C395" s="18" t="str">
        <f>IFERROR(VLOOKUP(B395, 'Project Master'!A:B, 2, FALSE), "")</f>
        <v/>
      </c>
      <c r="D395" s="10"/>
      <c r="E395" s="10"/>
      <c r="F395" s="25">
        <v>0.0</v>
      </c>
      <c r="G395" s="10"/>
    </row>
    <row r="396">
      <c r="A396" s="22"/>
      <c r="B396" s="10"/>
      <c r="C396" s="18" t="str">
        <f>IFERROR(VLOOKUP(B396, 'Project Master'!A:B, 2, FALSE), "")</f>
        <v/>
      </c>
      <c r="D396" s="10"/>
      <c r="E396" s="10"/>
      <c r="F396" s="25">
        <v>0.0</v>
      </c>
      <c r="G396" s="10"/>
    </row>
    <row r="397">
      <c r="A397" s="22"/>
      <c r="B397" s="10"/>
      <c r="C397" s="18" t="str">
        <f>IFERROR(VLOOKUP(B397, 'Project Master'!A:B, 2, FALSE), "")</f>
        <v/>
      </c>
      <c r="D397" s="10"/>
      <c r="E397" s="10"/>
      <c r="F397" s="25">
        <v>0.0</v>
      </c>
      <c r="G397" s="10"/>
    </row>
    <row r="398">
      <c r="A398" s="22"/>
      <c r="B398" s="10"/>
      <c r="C398" s="18" t="str">
        <f>IFERROR(VLOOKUP(B398, 'Project Master'!A:B, 2, FALSE), "")</f>
        <v/>
      </c>
      <c r="D398" s="10"/>
      <c r="E398" s="10"/>
      <c r="F398" s="25">
        <v>0.0</v>
      </c>
      <c r="G398" s="10"/>
    </row>
    <row r="399">
      <c r="A399" s="22"/>
      <c r="B399" s="10"/>
      <c r="C399" s="18" t="str">
        <f>IFERROR(VLOOKUP(B399, 'Project Master'!A:B, 2, FALSE), "")</f>
        <v/>
      </c>
      <c r="D399" s="10"/>
      <c r="E399" s="10"/>
      <c r="F399" s="25">
        <v>0.0</v>
      </c>
      <c r="G399" s="10"/>
    </row>
    <row r="400">
      <c r="A400" s="22"/>
      <c r="B400" s="10"/>
      <c r="C400" s="18" t="str">
        <f>IFERROR(VLOOKUP(B400, 'Project Master'!A:B, 2, FALSE), "")</f>
        <v/>
      </c>
      <c r="D400" s="10"/>
      <c r="E400" s="10"/>
      <c r="F400" s="25">
        <v>0.0</v>
      </c>
      <c r="G400" s="10"/>
    </row>
    <row r="401">
      <c r="A401" s="22"/>
      <c r="B401" s="10"/>
      <c r="C401" s="18" t="str">
        <f>IFERROR(VLOOKUP(B401, 'Project Master'!A:B, 2, FALSE), "")</f>
        <v/>
      </c>
      <c r="D401" s="10"/>
      <c r="E401" s="10"/>
      <c r="F401" s="25">
        <v>0.0</v>
      </c>
      <c r="G401" s="10"/>
    </row>
    <row r="402">
      <c r="A402" s="22"/>
      <c r="B402" s="10"/>
      <c r="C402" s="18" t="str">
        <f>IFERROR(VLOOKUP(B402, 'Project Master'!A:B, 2, FALSE), "")</f>
        <v/>
      </c>
      <c r="D402" s="10"/>
      <c r="E402" s="10"/>
      <c r="F402" s="25">
        <v>0.0</v>
      </c>
      <c r="G402" s="10"/>
    </row>
    <row r="403">
      <c r="A403" s="22"/>
      <c r="B403" s="10"/>
      <c r="C403" s="18" t="str">
        <f>IFERROR(VLOOKUP(B403, 'Project Master'!A:B, 2, FALSE), "")</f>
        <v/>
      </c>
      <c r="D403" s="10"/>
      <c r="E403" s="10"/>
      <c r="F403" s="25">
        <v>0.0</v>
      </c>
      <c r="G403" s="10"/>
    </row>
    <row r="404">
      <c r="A404" s="22"/>
      <c r="B404" s="10"/>
      <c r="C404" s="18" t="str">
        <f>IFERROR(VLOOKUP(B404, 'Project Master'!A:B, 2, FALSE), "")</f>
        <v/>
      </c>
      <c r="D404" s="10"/>
      <c r="E404" s="10"/>
      <c r="F404" s="25">
        <v>0.0</v>
      </c>
      <c r="G404" s="10"/>
    </row>
    <row r="405">
      <c r="A405" s="22"/>
      <c r="B405" s="10"/>
      <c r="C405" s="18" t="str">
        <f>IFERROR(VLOOKUP(B405, 'Project Master'!A:B, 2, FALSE), "")</f>
        <v/>
      </c>
      <c r="D405" s="10"/>
      <c r="E405" s="10"/>
      <c r="F405" s="25">
        <v>0.0</v>
      </c>
      <c r="G405" s="10"/>
    </row>
    <row r="406">
      <c r="A406" s="22"/>
      <c r="B406" s="10"/>
      <c r="C406" s="18" t="str">
        <f>IFERROR(VLOOKUP(B406, 'Project Master'!A:B, 2, FALSE), "")</f>
        <v/>
      </c>
      <c r="D406" s="10"/>
      <c r="E406" s="10"/>
      <c r="F406" s="25">
        <v>0.0</v>
      </c>
      <c r="G406" s="10"/>
    </row>
    <row r="407">
      <c r="A407" s="22"/>
      <c r="B407" s="10"/>
      <c r="C407" s="18" t="str">
        <f>IFERROR(VLOOKUP(B407, 'Project Master'!A:B, 2, FALSE), "")</f>
        <v/>
      </c>
      <c r="D407" s="10"/>
      <c r="E407" s="10"/>
      <c r="F407" s="25">
        <v>0.0</v>
      </c>
      <c r="G407" s="10"/>
    </row>
    <row r="408">
      <c r="A408" s="22"/>
      <c r="B408" s="10"/>
      <c r="C408" s="18" t="str">
        <f>IFERROR(VLOOKUP(B408, 'Project Master'!A:B, 2, FALSE), "")</f>
        <v/>
      </c>
      <c r="D408" s="10"/>
      <c r="E408" s="10"/>
      <c r="F408" s="25">
        <v>0.0</v>
      </c>
      <c r="G408" s="10"/>
    </row>
    <row r="409">
      <c r="A409" s="22"/>
      <c r="B409" s="10"/>
      <c r="C409" s="18" t="str">
        <f>IFERROR(VLOOKUP(B409, 'Project Master'!A:B, 2, FALSE), "")</f>
        <v/>
      </c>
      <c r="D409" s="10"/>
      <c r="E409" s="10"/>
      <c r="F409" s="25">
        <v>0.0</v>
      </c>
      <c r="G409" s="10"/>
    </row>
    <row r="410">
      <c r="A410" s="22"/>
      <c r="B410" s="10"/>
      <c r="C410" s="18" t="str">
        <f>IFERROR(VLOOKUP(B410, 'Project Master'!A:B, 2, FALSE), "")</f>
        <v/>
      </c>
      <c r="D410" s="10"/>
      <c r="E410" s="10"/>
      <c r="F410" s="25">
        <v>0.0</v>
      </c>
      <c r="G410" s="10"/>
    </row>
    <row r="411">
      <c r="A411" s="22"/>
      <c r="B411" s="10"/>
      <c r="C411" s="18" t="str">
        <f>IFERROR(VLOOKUP(B411, 'Project Master'!A:B, 2, FALSE), "")</f>
        <v/>
      </c>
      <c r="D411" s="10"/>
      <c r="E411" s="10"/>
      <c r="F411" s="25">
        <v>0.0</v>
      </c>
      <c r="G411" s="10"/>
    </row>
    <row r="412">
      <c r="A412" s="22"/>
      <c r="B412" s="10"/>
      <c r="C412" s="18" t="str">
        <f>IFERROR(VLOOKUP(B412, 'Project Master'!A:B, 2, FALSE), "")</f>
        <v/>
      </c>
      <c r="D412" s="10"/>
      <c r="E412" s="10"/>
      <c r="F412" s="25">
        <v>0.0</v>
      </c>
      <c r="G412" s="10"/>
    </row>
    <row r="413">
      <c r="A413" s="22"/>
      <c r="B413" s="10"/>
      <c r="C413" s="18" t="str">
        <f>IFERROR(VLOOKUP(B413, 'Project Master'!A:B, 2, FALSE), "")</f>
        <v/>
      </c>
      <c r="D413" s="10"/>
      <c r="E413" s="10"/>
      <c r="F413" s="25">
        <v>0.0</v>
      </c>
      <c r="G413" s="10"/>
    </row>
    <row r="414">
      <c r="A414" s="22"/>
      <c r="B414" s="10"/>
      <c r="C414" s="18" t="str">
        <f>IFERROR(VLOOKUP(B414, 'Project Master'!A:B, 2, FALSE), "")</f>
        <v/>
      </c>
      <c r="D414" s="10"/>
      <c r="E414" s="10"/>
      <c r="F414" s="25">
        <v>0.0</v>
      </c>
      <c r="G414" s="10"/>
    </row>
    <row r="415">
      <c r="A415" s="22"/>
      <c r="B415" s="10"/>
      <c r="C415" s="18" t="str">
        <f>IFERROR(VLOOKUP(B415, 'Project Master'!A:B, 2, FALSE), "")</f>
        <v/>
      </c>
      <c r="D415" s="10"/>
      <c r="E415" s="10"/>
      <c r="F415" s="25">
        <v>0.0</v>
      </c>
      <c r="G415" s="10"/>
    </row>
    <row r="416">
      <c r="A416" s="22"/>
      <c r="B416" s="10"/>
      <c r="C416" s="18" t="str">
        <f>IFERROR(VLOOKUP(B416, 'Project Master'!A:B, 2, FALSE), "")</f>
        <v/>
      </c>
      <c r="D416" s="10"/>
      <c r="E416" s="10"/>
      <c r="F416" s="25">
        <v>0.0</v>
      </c>
      <c r="G416" s="10"/>
    </row>
    <row r="417">
      <c r="A417" s="22"/>
      <c r="B417" s="10"/>
      <c r="C417" s="18" t="str">
        <f>IFERROR(VLOOKUP(B417, 'Project Master'!A:B, 2, FALSE), "")</f>
        <v/>
      </c>
      <c r="D417" s="10"/>
      <c r="E417" s="10"/>
      <c r="F417" s="25">
        <v>0.0</v>
      </c>
      <c r="G417" s="10"/>
    </row>
    <row r="418">
      <c r="A418" s="22"/>
      <c r="B418" s="10"/>
      <c r="C418" s="18" t="str">
        <f>IFERROR(VLOOKUP(B418, 'Project Master'!A:B, 2, FALSE), "")</f>
        <v/>
      </c>
      <c r="D418" s="10"/>
      <c r="E418" s="10"/>
      <c r="F418" s="25">
        <v>0.0</v>
      </c>
      <c r="G418" s="10"/>
    </row>
    <row r="419">
      <c r="A419" s="22"/>
      <c r="B419" s="10"/>
      <c r="C419" s="18" t="str">
        <f>IFERROR(VLOOKUP(B419, 'Project Master'!A:B, 2, FALSE), "")</f>
        <v/>
      </c>
      <c r="D419" s="10"/>
      <c r="E419" s="10"/>
      <c r="F419" s="25">
        <v>0.0</v>
      </c>
      <c r="G419" s="10"/>
    </row>
    <row r="420">
      <c r="A420" s="22"/>
      <c r="B420" s="10"/>
      <c r="C420" s="18" t="str">
        <f>IFERROR(VLOOKUP(B420, 'Project Master'!A:B, 2, FALSE), "")</f>
        <v/>
      </c>
      <c r="D420" s="10"/>
      <c r="E420" s="10"/>
      <c r="F420" s="25">
        <v>0.0</v>
      </c>
      <c r="G420" s="10"/>
    </row>
    <row r="421">
      <c r="A421" s="22"/>
      <c r="B421" s="10"/>
      <c r="C421" s="18" t="str">
        <f>IFERROR(VLOOKUP(B421, 'Project Master'!A:B, 2, FALSE), "")</f>
        <v/>
      </c>
      <c r="D421" s="10"/>
      <c r="E421" s="10"/>
      <c r="F421" s="25">
        <v>0.0</v>
      </c>
      <c r="G421" s="10"/>
    </row>
    <row r="422">
      <c r="A422" s="22"/>
      <c r="B422" s="10"/>
      <c r="C422" s="18" t="str">
        <f>IFERROR(VLOOKUP(B422, 'Project Master'!A:B, 2, FALSE), "")</f>
        <v/>
      </c>
      <c r="D422" s="10"/>
      <c r="E422" s="10"/>
      <c r="F422" s="25">
        <v>0.0</v>
      </c>
      <c r="G422" s="10"/>
    </row>
    <row r="423">
      <c r="A423" s="22"/>
      <c r="B423" s="10"/>
      <c r="C423" s="18" t="str">
        <f>IFERROR(VLOOKUP(B423, 'Project Master'!A:B, 2, FALSE), "")</f>
        <v/>
      </c>
      <c r="D423" s="10"/>
      <c r="E423" s="10"/>
      <c r="F423" s="25">
        <v>0.0</v>
      </c>
      <c r="G423" s="10"/>
    </row>
    <row r="424">
      <c r="A424" s="22"/>
      <c r="B424" s="10"/>
      <c r="C424" s="18" t="str">
        <f>IFERROR(VLOOKUP(B424, 'Project Master'!A:B, 2, FALSE), "")</f>
        <v/>
      </c>
      <c r="D424" s="10"/>
      <c r="E424" s="10"/>
      <c r="F424" s="25">
        <v>0.0</v>
      </c>
      <c r="G424" s="10"/>
    </row>
    <row r="425">
      <c r="A425" s="22"/>
      <c r="B425" s="10"/>
      <c r="C425" s="18" t="str">
        <f>IFERROR(VLOOKUP(B425, 'Project Master'!A:B, 2, FALSE), "")</f>
        <v/>
      </c>
      <c r="D425" s="10"/>
      <c r="E425" s="10"/>
      <c r="F425" s="25">
        <v>0.0</v>
      </c>
      <c r="G425" s="10"/>
    </row>
    <row r="426">
      <c r="A426" s="22"/>
      <c r="B426" s="10"/>
      <c r="C426" s="18" t="str">
        <f>IFERROR(VLOOKUP(B426, 'Project Master'!A:B, 2, FALSE), "")</f>
        <v/>
      </c>
      <c r="D426" s="10"/>
      <c r="E426" s="10"/>
      <c r="F426" s="25">
        <v>0.0</v>
      </c>
      <c r="G426" s="10"/>
    </row>
    <row r="427">
      <c r="A427" s="22"/>
      <c r="B427" s="10"/>
      <c r="C427" s="18" t="str">
        <f>IFERROR(VLOOKUP(B427, 'Project Master'!A:B, 2, FALSE), "")</f>
        <v/>
      </c>
      <c r="D427" s="10"/>
      <c r="E427" s="10"/>
      <c r="F427" s="25">
        <v>0.0</v>
      </c>
      <c r="G427" s="10"/>
    </row>
    <row r="428">
      <c r="A428" s="22"/>
      <c r="B428" s="10"/>
      <c r="C428" s="18" t="str">
        <f>IFERROR(VLOOKUP(B428, 'Project Master'!A:B, 2, FALSE), "")</f>
        <v/>
      </c>
      <c r="D428" s="10"/>
      <c r="E428" s="10"/>
      <c r="F428" s="25">
        <v>0.0</v>
      </c>
      <c r="G428" s="10"/>
    </row>
    <row r="429">
      <c r="A429" s="22"/>
      <c r="B429" s="10"/>
      <c r="C429" s="18" t="str">
        <f>IFERROR(VLOOKUP(B429, 'Project Master'!A:B, 2, FALSE), "")</f>
        <v/>
      </c>
      <c r="D429" s="10"/>
      <c r="E429" s="10"/>
      <c r="F429" s="25">
        <v>0.0</v>
      </c>
      <c r="G429" s="10"/>
    </row>
    <row r="430">
      <c r="A430" s="22"/>
      <c r="B430" s="10"/>
      <c r="C430" s="18" t="str">
        <f>IFERROR(VLOOKUP(B430, 'Project Master'!A:B, 2, FALSE), "")</f>
        <v/>
      </c>
      <c r="D430" s="10"/>
      <c r="E430" s="10"/>
      <c r="F430" s="25">
        <v>0.0</v>
      </c>
      <c r="G430" s="10"/>
    </row>
    <row r="431">
      <c r="A431" s="22"/>
      <c r="B431" s="10"/>
      <c r="C431" s="18" t="str">
        <f>IFERROR(VLOOKUP(B431, 'Project Master'!A:B, 2, FALSE), "")</f>
        <v/>
      </c>
      <c r="D431" s="10"/>
      <c r="E431" s="10"/>
      <c r="F431" s="25">
        <v>0.0</v>
      </c>
      <c r="G431" s="10"/>
    </row>
    <row r="432">
      <c r="A432" s="22"/>
      <c r="B432" s="10"/>
      <c r="C432" s="18" t="str">
        <f>IFERROR(VLOOKUP(B432, 'Project Master'!A:B, 2, FALSE), "")</f>
        <v/>
      </c>
      <c r="D432" s="10"/>
      <c r="E432" s="10"/>
      <c r="F432" s="25">
        <v>0.0</v>
      </c>
      <c r="G432" s="10"/>
    </row>
    <row r="433">
      <c r="A433" s="22"/>
      <c r="B433" s="10"/>
      <c r="C433" s="18" t="str">
        <f>IFERROR(VLOOKUP(B433, 'Project Master'!A:B, 2, FALSE), "")</f>
        <v/>
      </c>
      <c r="D433" s="10"/>
      <c r="E433" s="10"/>
      <c r="F433" s="25">
        <v>0.0</v>
      </c>
      <c r="G433" s="10"/>
    </row>
    <row r="434">
      <c r="A434" s="22"/>
      <c r="B434" s="10"/>
      <c r="C434" s="18" t="str">
        <f>IFERROR(VLOOKUP(B434, 'Project Master'!A:B, 2, FALSE), "")</f>
        <v/>
      </c>
      <c r="D434" s="10"/>
      <c r="E434" s="10"/>
      <c r="F434" s="25">
        <v>0.0</v>
      </c>
      <c r="G434" s="10"/>
    </row>
    <row r="435">
      <c r="A435" s="22"/>
      <c r="B435" s="10"/>
      <c r="C435" s="18" t="str">
        <f>IFERROR(VLOOKUP(B435, 'Project Master'!A:B, 2, FALSE), "")</f>
        <v/>
      </c>
      <c r="D435" s="10"/>
      <c r="E435" s="10"/>
      <c r="F435" s="25">
        <v>0.0</v>
      </c>
      <c r="G435" s="10"/>
    </row>
    <row r="436">
      <c r="A436" s="22"/>
      <c r="B436" s="10"/>
      <c r="C436" s="18" t="str">
        <f>IFERROR(VLOOKUP(B436, 'Project Master'!A:B, 2, FALSE), "")</f>
        <v/>
      </c>
      <c r="D436" s="10"/>
      <c r="E436" s="10"/>
      <c r="F436" s="25">
        <v>0.0</v>
      </c>
      <c r="G436" s="10"/>
    </row>
    <row r="437">
      <c r="A437" s="22"/>
      <c r="B437" s="10"/>
      <c r="C437" s="18" t="str">
        <f>IFERROR(VLOOKUP(B437, 'Project Master'!A:B, 2, FALSE), "")</f>
        <v/>
      </c>
      <c r="D437" s="10"/>
      <c r="E437" s="10"/>
      <c r="F437" s="25">
        <v>0.0</v>
      </c>
      <c r="G437" s="10"/>
    </row>
    <row r="438">
      <c r="A438" s="22"/>
      <c r="B438" s="10"/>
      <c r="C438" s="18" t="str">
        <f>IFERROR(VLOOKUP(B438, 'Project Master'!A:B, 2, FALSE), "")</f>
        <v/>
      </c>
      <c r="D438" s="10"/>
      <c r="E438" s="10"/>
      <c r="F438" s="25">
        <v>0.0</v>
      </c>
      <c r="G438" s="10"/>
    </row>
    <row r="439">
      <c r="A439" s="22"/>
      <c r="B439" s="10"/>
      <c r="C439" s="18" t="str">
        <f>IFERROR(VLOOKUP(B439, 'Project Master'!A:B, 2, FALSE), "")</f>
        <v/>
      </c>
      <c r="D439" s="10"/>
      <c r="E439" s="10"/>
      <c r="F439" s="25">
        <v>0.0</v>
      </c>
      <c r="G439" s="10"/>
    </row>
    <row r="440">
      <c r="A440" s="22"/>
      <c r="B440" s="10"/>
      <c r="C440" s="18" t="str">
        <f>IFERROR(VLOOKUP(B440, 'Project Master'!A:B, 2, FALSE), "")</f>
        <v/>
      </c>
      <c r="D440" s="10"/>
      <c r="E440" s="10"/>
      <c r="F440" s="25">
        <v>0.0</v>
      </c>
      <c r="G440" s="10"/>
    </row>
    <row r="441">
      <c r="A441" s="22"/>
      <c r="B441" s="10"/>
      <c r="C441" s="18" t="str">
        <f>IFERROR(VLOOKUP(B441, 'Project Master'!A:B, 2, FALSE), "")</f>
        <v/>
      </c>
      <c r="D441" s="10"/>
      <c r="E441" s="10"/>
      <c r="F441" s="25">
        <v>0.0</v>
      </c>
      <c r="G441" s="10"/>
    </row>
    <row r="442">
      <c r="A442" s="22"/>
      <c r="B442" s="10"/>
      <c r="C442" s="18" t="str">
        <f>IFERROR(VLOOKUP(B442, 'Project Master'!A:B, 2, FALSE), "")</f>
        <v/>
      </c>
      <c r="D442" s="10"/>
      <c r="E442" s="10"/>
      <c r="F442" s="25">
        <v>0.0</v>
      </c>
      <c r="G442" s="10"/>
    </row>
    <row r="443">
      <c r="A443" s="22"/>
      <c r="B443" s="10"/>
      <c r="C443" s="18" t="str">
        <f>IFERROR(VLOOKUP(B443, 'Project Master'!A:B, 2, FALSE), "")</f>
        <v/>
      </c>
      <c r="D443" s="10"/>
      <c r="E443" s="10"/>
      <c r="F443" s="25">
        <v>0.0</v>
      </c>
      <c r="G443" s="10"/>
    </row>
    <row r="444">
      <c r="A444" s="22"/>
      <c r="B444" s="10"/>
      <c r="C444" s="18" t="str">
        <f>IFERROR(VLOOKUP(B444, 'Project Master'!A:B, 2, FALSE), "")</f>
        <v/>
      </c>
      <c r="D444" s="10"/>
      <c r="E444" s="10"/>
      <c r="F444" s="25">
        <v>0.0</v>
      </c>
      <c r="G444" s="10"/>
    </row>
    <row r="445">
      <c r="A445" s="22"/>
      <c r="B445" s="10"/>
      <c r="C445" s="18" t="str">
        <f>IFERROR(VLOOKUP(B445, 'Project Master'!A:B, 2, FALSE), "")</f>
        <v/>
      </c>
      <c r="D445" s="10"/>
      <c r="E445" s="10"/>
      <c r="F445" s="25">
        <v>0.0</v>
      </c>
      <c r="G445" s="10"/>
    </row>
    <row r="446">
      <c r="A446" s="22"/>
      <c r="B446" s="10"/>
      <c r="C446" s="18" t="str">
        <f>IFERROR(VLOOKUP(B446, 'Project Master'!A:B, 2, FALSE), "")</f>
        <v/>
      </c>
      <c r="D446" s="10"/>
      <c r="E446" s="10"/>
      <c r="F446" s="25">
        <v>0.0</v>
      </c>
      <c r="G446" s="10"/>
    </row>
    <row r="447">
      <c r="A447" s="22"/>
      <c r="B447" s="10"/>
      <c r="C447" s="18" t="str">
        <f>IFERROR(VLOOKUP(B447, 'Project Master'!A:B, 2, FALSE), "")</f>
        <v/>
      </c>
      <c r="D447" s="10"/>
      <c r="E447" s="10"/>
      <c r="F447" s="25">
        <v>0.0</v>
      </c>
      <c r="G447" s="10"/>
    </row>
    <row r="448">
      <c r="A448" s="22"/>
      <c r="B448" s="10"/>
      <c r="C448" s="18" t="str">
        <f>IFERROR(VLOOKUP(B448, 'Project Master'!A:B, 2, FALSE), "")</f>
        <v/>
      </c>
      <c r="D448" s="10"/>
      <c r="E448" s="10"/>
      <c r="F448" s="25">
        <v>0.0</v>
      </c>
      <c r="G448" s="10"/>
    </row>
    <row r="449">
      <c r="A449" s="22"/>
      <c r="B449" s="10"/>
      <c r="C449" s="18" t="str">
        <f>IFERROR(VLOOKUP(B449, 'Project Master'!A:B, 2, FALSE), "")</f>
        <v/>
      </c>
      <c r="D449" s="10"/>
      <c r="E449" s="10"/>
      <c r="F449" s="25">
        <v>0.0</v>
      </c>
      <c r="G449" s="10"/>
    </row>
    <row r="450">
      <c r="A450" s="22"/>
      <c r="B450" s="10"/>
      <c r="C450" s="18" t="str">
        <f>IFERROR(VLOOKUP(B450, 'Project Master'!A:B, 2, FALSE), "")</f>
        <v/>
      </c>
      <c r="D450" s="10"/>
      <c r="E450" s="10"/>
      <c r="F450" s="25">
        <v>0.0</v>
      </c>
      <c r="G450" s="10"/>
    </row>
    <row r="451">
      <c r="A451" s="22"/>
      <c r="B451" s="10"/>
      <c r="C451" s="18" t="str">
        <f>IFERROR(VLOOKUP(B451, 'Project Master'!A:B, 2, FALSE), "")</f>
        <v/>
      </c>
      <c r="D451" s="10"/>
      <c r="E451" s="10"/>
      <c r="F451" s="25">
        <v>0.0</v>
      </c>
      <c r="G451" s="10"/>
    </row>
    <row r="452">
      <c r="A452" s="22"/>
      <c r="B452" s="10"/>
      <c r="C452" s="18" t="str">
        <f>IFERROR(VLOOKUP(B452, 'Project Master'!A:B, 2, FALSE), "")</f>
        <v/>
      </c>
      <c r="D452" s="10"/>
      <c r="E452" s="10"/>
      <c r="F452" s="25">
        <v>0.0</v>
      </c>
      <c r="G452" s="10"/>
    </row>
    <row r="453">
      <c r="A453" s="22"/>
      <c r="B453" s="10"/>
      <c r="C453" s="18" t="str">
        <f>IFERROR(VLOOKUP(B453, 'Project Master'!A:B, 2, FALSE), "")</f>
        <v/>
      </c>
      <c r="D453" s="10"/>
      <c r="E453" s="10"/>
      <c r="F453" s="25">
        <v>0.0</v>
      </c>
      <c r="G453" s="10"/>
    </row>
    <row r="454">
      <c r="A454" s="22"/>
      <c r="B454" s="10"/>
      <c r="C454" s="18" t="str">
        <f>IFERROR(VLOOKUP(B454, 'Project Master'!A:B, 2, FALSE), "")</f>
        <v/>
      </c>
      <c r="D454" s="10"/>
      <c r="E454" s="10"/>
      <c r="F454" s="25">
        <v>0.0</v>
      </c>
      <c r="G454" s="10"/>
    </row>
    <row r="455">
      <c r="A455" s="22"/>
      <c r="B455" s="10"/>
      <c r="C455" s="18" t="str">
        <f>IFERROR(VLOOKUP(B455, 'Project Master'!A:B, 2, FALSE), "")</f>
        <v/>
      </c>
      <c r="D455" s="10"/>
      <c r="E455" s="10"/>
      <c r="F455" s="25">
        <v>0.0</v>
      </c>
      <c r="G455" s="10"/>
    </row>
    <row r="456">
      <c r="A456" s="22"/>
      <c r="B456" s="10"/>
      <c r="C456" s="18" t="str">
        <f>IFERROR(VLOOKUP(B456, 'Project Master'!A:B, 2, FALSE), "")</f>
        <v/>
      </c>
      <c r="D456" s="10"/>
      <c r="E456" s="10"/>
      <c r="F456" s="25">
        <v>0.0</v>
      </c>
      <c r="G456" s="10"/>
    </row>
    <row r="457">
      <c r="A457" s="22"/>
      <c r="B457" s="10"/>
      <c r="C457" s="18" t="str">
        <f>IFERROR(VLOOKUP(B457, 'Project Master'!A:B, 2, FALSE), "")</f>
        <v/>
      </c>
      <c r="D457" s="10"/>
      <c r="E457" s="10"/>
      <c r="F457" s="25">
        <v>0.0</v>
      </c>
      <c r="G457" s="10"/>
    </row>
    <row r="458">
      <c r="A458" s="22"/>
      <c r="B458" s="10"/>
      <c r="C458" s="18" t="str">
        <f>IFERROR(VLOOKUP(B458, 'Project Master'!A:B, 2, FALSE), "")</f>
        <v/>
      </c>
      <c r="D458" s="10"/>
      <c r="E458" s="10"/>
      <c r="F458" s="25">
        <v>0.0</v>
      </c>
      <c r="G458" s="10"/>
    </row>
    <row r="459">
      <c r="A459" s="22"/>
      <c r="B459" s="10"/>
      <c r="C459" s="18" t="str">
        <f>IFERROR(VLOOKUP(B459, 'Project Master'!A:B, 2, FALSE), "")</f>
        <v/>
      </c>
      <c r="D459" s="10"/>
      <c r="E459" s="10"/>
      <c r="F459" s="25">
        <v>0.0</v>
      </c>
      <c r="G459" s="10"/>
    </row>
    <row r="460">
      <c r="A460" s="22"/>
      <c r="B460" s="10"/>
      <c r="C460" s="18" t="str">
        <f>IFERROR(VLOOKUP(B460, 'Project Master'!A:B, 2, FALSE), "")</f>
        <v/>
      </c>
      <c r="D460" s="10"/>
      <c r="E460" s="10"/>
      <c r="F460" s="25">
        <v>0.0</v>
      </c>
      <c r="G460" s="10"/>
    </row>
    <row r="461">
      <c r="A461" s="22"/>
      <c r="B461" s="10"/>
      <c r="C461" s="18" t="str">
        <f>IFERROR(VLOOKUP(B461, 'Project Master'!A:B, 2, FALSE), "")</f>
        <v/>
      </c>
      <c r="D461" s="10"/>
      <c r="E461" s="10"/>
      <c r="F461" s="25">
        <v>0.0</v>
      </c>
      <c r="G461" s="10"/>
    </row>
    <row r="462">
      <c r="A462" s="22"/>
      <c r="B462" s="10"/>
      <c r="C462" s="18" t="str">
        <f>IFERROR(VLOOKUP(B462, 'Project Master'!A:B, 2, FALSE), "")</f>
        <v/>
      </c>
      <c r="D462" s="10"/>
      <c r="E462" s="10"/>
      <c r="F462" s="25">
        <v>0.0</v>
      </c>
      <c r="G462" s="10"/>
    </row>
    <row r="463">
      <c r="A463" s="22"/>
      <c r="B463" s="10"/>
      <c r="C463" s="18" t="str">
        <f>IFERROR(VLOOKUP(B463, 'Project Master'!A:B, 2, FALSE), "")</f>
        <v/>
      </c>
      <c r="D463" s="10"/>
      <c r="E463" s="10"/>
      <c r="F463" s="25">
        <v>0.0</v>
      </c>
      <c r="G463" s="10"/>
    </row>
    <row r="464">
      <c r="A464" s="22"/>
      <c r="B464" s="10"/>
      <c r="C464" s="18" t="str">
        <f>IFERROR(VLOOKUP(B464, 'Project Master'!A:B, 2, FALSE), "")</f>
        <v/>
      </c>
      <c r="D464" s="10"/>
      <c r="E464" s="10"/>
      <c r="F464" s="25">
        <v>0.0</v>
      </c>
      <c r="G464" s="10"/>
    </row>
    <row r="465">
      <c r="A465" s="22"/>
      <c r="B465" s="10"/>
      <c r="C465" s="18" t="str">
        <f>IFERROR(VLOOKUP(B465, 'Project Master'!A:B, 2, FALSE), "")</f>
        <v/>
      </c>
      <c r="D465" s="10"/>
      <c r="E465" s="10"/>
      <c r="F465" s="25">
        <v>0.0</v>
      </c>
      <c r="G465" s="10"/>
    </row>
    <row r="466">
      <c r="A466" s="22"/>
      <c r="B466" s="10"/>
      <c r="C466" s="18" t="str">
        <f>IFERROR(VLOOKUP(B466, 'Project Master'!A:B, 2, FALSE), "")</f>
        <v/>
      </c>
      <c r="D466" s="10"/>
      <c r="E466" s="10"/>
      <c r="F466" s="25">
        <v>0.0</v>
      </c>
      <c r="G466" s="10"/>
    </row>
    <row r="467">
      <c r="A467" s="22"/>
      <c r="B467" s="10"/>
      <c r="C467" s="18" t="str">
        <f>IFERROR(VLOOKUP(B467, 'Project Master'!A:B, 2, FALSE), "")</f>
        <v/>
      </c>
      <c r="D467" s="10"/>
      <c r="E467" s="10"/>
      <c r="F467" s="25">
        <v>0.0</v>
      </c>
      <c r="G467" s="10"/>
    </row>
    <row r="468">
      <c r="A468" s="22"/>
      <c r="B468" s="10"/>
      <c r="C468" s="18" t="str">
        <f>IFERROR(VLOOKUP(B468, 'Project Master'!A:B, 2, FALSE), "")</f>
        <v/>
      </c>
      <c r="D468" s="10"/>
      <c r="E468" s="10"/>
      <c r="F468" s="25">
        <v>0.0</v>
      </c>
      <c r="G468" s="10"/>
    </row>
    <row r="469">
      <c r="A469" s="22"/>
      <c r="B469" s="10"/>
      <c r="C469" s="18" t="str">
        <f>IFERROR(VLOOKUP(B469, 'Project Master'!A:B, 2, FALSE), "")</f>
        <v/>
      </c>
      <c r="D469" s="10"/>
      <c r="E469" s="10"/>
      <c r="F469" s="25">
        <v>0.0</v>
      </c>
      <c r="G469" s="10"/>
    </row>
    <row r="470">
      <c r="A470" s="22"/>
      <c r="B470" s="10"/>
      <c r="C470" s="18" t="str">
        <f>IFERROR(VLOOKUP(B470, 'Project Master'!A:B, 2, FALSE), "")</f>
        <v/>
      </c>
      <c r="D470" s="10"/>
      <c r="E470" s="10"/>
      <c r="F470" s="25">
        <v>0.0</v>
      </c>
      <c r="G470" s="10"/>
    </row>
    <row r="471">
      <c r="A471" s="22"/>
      <c r="B471" s="10"/>
      <c r="C471" s="18" t="str">
        <f>IFERROR(VLOOKUP(B471, 'Project Master'!A:B, 2, FALSE), "")</f>
        <v/>
      </c>
      <c r="D471" s="10"/>
      <c r="E471" s="10"/>
      <c r="F471" s="25">
        <v>0.0</v>
      </c>
      <c r="G471" s="10"/>
    </row>
    <row r="472">
      <c r="A472" s="22"/>
      <c r="B472" s="10"/>
      <c r="C472" s="18" t="str">
        <f>IFERROR(VLOOKUP(B472, 'Project Master'!A:B, 2, FALSE), "")</f>
        <v/>
      </c>
      <c r="D472" s="10"/>
      <c r="E472" s="10"/>
      <c r="F472" s="25">
        <v>0.0</v>
      </c>
      <c r="G472" s="10"/>
    </row>
    <row r="473">
      <c r="A473" s="22"/>
      <c r="B473" s="10"/>
      <c r="C473" s="18" t="str">
        <f>IFERROR(VLOOKUP(B473, 'Project Master'!A:B, 2, FALSE), "")</f>
        <v/>
      </c>
      <c r="D473" s="10"/>
      <c r="E473" s="10"/>
      <c r="F473" s="25">
        <v>0.0</v>
      </c>
      <c r="G473" s="10"/>
    </row>
    <row r="474">
      <c r="A474" s="22"/>
      <c r="B474" s="10"/>
      <c r="C474" s="18" t="str">
        <f>IFERROR(VLOOKUP(B474, 'Project Master'!A:B, 2, FALSE), "")</f>
        <v/>
      </c>
      <c r="D474" s="10"/>
      <c r="E474" s="10"/>
      <c r="F474" s="25">
        <v>0.0</v>
      </c>
      <c r="G474" s="10"/>
    </row>
    <row r="475">
      <c r="A475" s="22"/>
      <c r="B475" s="10"/>
      <c r="C475" s="18" t="str">
        <f>IFERROR(VLOOKUP(B475, 'Project Master'!A:B, 2, FALSE), "")</f>
        <v/>
      </c>
      <c r="D475" s="10"/>
      <c r="E475" s="10"/>
      <c r="F475" s="25">
        <v>0.0</v>
      </c>
      <c r="G475" s="10"/>
    </row>
    <row r="476">
      <c r="A476" s="22"/>
      <c r="B476" s="10"/>
      <c r="C476" s="18" t="str">
        <f>IFERROR(VLOOKUP(B476, 'Project Master'!A:B, 2, FALSE), "")</f>
        <v/>
      </c>
      <c r="D476" s="10"/>
      <c r="E476" s="10"/>
      <c r="F476" s="25">
        <v>0.0</v>
      </c>
      <c r="G476" s="10"/>
    </row>
    <row r="477">
      <c r="A477" s="22"/>
      <c r="B477" s="10"/>
      <c r="C477" s="18" t="str">
        <f>IFERROR(VLOOKUP(B477, 'Project Master'!A:B, 2, FALSE), "")</f>
        <v/>
      </c>
      <c r="D477" s="10"/>
      <c r="E477" s="10"/>
      <c r="F477" s="25">
        <v>0.0</v>
      </c>
      <c r="G477" s="10"/>
    </row>
    <row r="478">
      <c r="A478" s="22"/>
      <c r="B478" s="10"/>
      <c r="C478" s="18" t="str">
        <f>IFERROR(VLOOKUP(B478, 'Project Master'!A:B, 2, FALSE), "")</f>
        <v/>
      </c>
      <c r="D478" s="10"/>
      <c r="E478" s="10"/>
      <c r="F478" s="25">
        <v>0.0</v>
      </c>
      <c r="G478" s="10"/>
    </row>
    <row r="479">
      <c r="A479" s="22"/>
      <c r="B479" s="10"/>
      <c r="C479" s="18" t="str">
        <f>IFERROR(VLOOKUP(B479, 'Project Master'!A:B, 2, FALSE), "")</f>
        <v/>
      </c>
      <c r="D479" s="10"/>
      <c r="E479" s="10"/>
      <c r="F479" s="25">
        <v>0.0</v>
      </c>
      <c r="G479" s="10"/>
    </row>
    <row r="480">
      <c r="A480" s="22"/>
      <c r="B480" s="10"/>
      <c r="C480" s="18" t="str">
        <f>IFERROR(VLOOKUP(B480, 'Project Master'!A:B, 2, FALSE), "")</f>
        <v/>
      </c>
      <c r="D480" s="10"/>
      <c r="E480" s="10"/>
      <c r="F480" s="25">
        <v>0.0</v>
      </c>
      <c r="G480" s="10"/>
    </row>
    <row r="481">
      <c r="A481" s="22"/>
      <c r="B481" s="10"/>
      <c r="C481" s="18" t="str">
        <f>IFERROR(VLOOKUP(B481, 'Project Master'!A:B, 2, FALSE), "")</f>
        <v/>
      </c>
      <c r="D481" s="10"/>
      <c r="E481" s="10"/>
      <c r="F481" s="25">
        <v>0.0</v>
      </c>
      <c r="G481" s="10"/>
    </row>
    <row r="482">
      <c r="A482" s="22"/>
      <c r="B482" s="10"/>
      <c r="C482" s="18" t="str">
        <f>IFERROR(VLOOKUP(B482, 'Project Master'!A:B, 2, FALSE), "")</f>
        <v/>
      </c>
      <c r="D482" s="10"/>
      <c r="E482" s="10"/>
      <c r="F482" s="25">
        <v>0.0</v>
      </c>
      <c r="G482" s="10"/>
    </row>
    <row r="483">
      <c r="A483" s="22"/>
      <c r="B483" s="10"/>
      <c r="C483" s="18" t="str">
        <f>IFERROR(VLOOKUP(B483, 'Project Master'!A:B, 2, FALSE), "")</f>
        <v/>
      </c>
      <c r="D483" s="10"/>
      <c r="E483" s="10"/>
      <c r="F483" s="25">
        <v>0.0</v>
      </c>
      <c r="G483" s="10"/>
    </row>
    <row r="484">
      <c r="A484" s="22"/>
      <c r="B484" s="10"/>
      <c r="C484" s="18" t="str">
        <f>IFERROR(VLOOKUP(B484, 'Project Master'!A:B, 2, FALSE), "")</f>
        <v/>
      </c>
      <c r="D484" s="10"/>
      <c r="E484" s="10"/>
      <c r="F484" s="25">
        <v>0.0</v>
      </c>
      <c r="G484" s="10"/>
    </row>
    <row r="485">
      <c r="A485" s="22"/>
      <c r="B485" s="10"/>
      <c r="C485" s="18" t="str">
        <f>IFERROR(VLOOKUP(B485, 'Project Master'!A:B, 2, FALSE), "")</f>
        <v/>
      </c>
      <c r="D485" s="10"/>
      <c r="E485" s="10"/>
      <c r="F485" s="25">
        <v>0.0</v>
      </c>
      <c r="G485" s="10"/>
    </row>
    <row r="486">
      <c r="A486" s="22"/>
      <c r="B486" s="10"/>
      <c r="C486" s="18" t="str">
        <f>IFERROR(VLOOKUP(B486, 'Project Master'!A:B, 2, FALSE), "")</f>
        <v/>
      </c>
      <c r="D486" s="10"/>
      <c r="E486" s="10"/>
      <c r="F486" s="25">
        <v>0.0</v>
      </c>
      <c r="G486" s="10"/>
    </row>
    <row r="487">
      <c r="A487" s="22"/>
      <c r="B487" s="10"/>
      <c r="C487" s="18" t="str">
        <f>IFERROR(VLOOKUP(B487, 'Project Master'!A:B, 2, FALSE), "")</f>
        <v/>
      </c>
      <c r="D487" s="10"/>
      <c r="E487" s="10"/>
      <c r="F487" s="25">
        <v>0.0</v>
      </c>
      <c r="G487" s="10"/>
    </row>
    <row r="488">
      <c r="A488" s="22"/>
      <c r="B488" s="10"/>
      <c r="C488" s="18" t="str">
        <f>IFERROR(VLOOKUP(B488, 'Project Master'!A:B, 2, FALSE), "")</f>
        <v/>
      </c>
      <c r="D488" s="10"/>
      <c r="E488" s="10"/>
      <c r="F488" s="25">
        <v>0.0</v>
      </c>
      <c r="G488" s="10"/>
    </row>
    <row r="489">
      <c r="A489" s="22"/>
      <c r="B489" s="10"/>
      <c r="C489" s="18" t="str">
        <f>IFERROR(VLOOKUP(B489, 'Project Master'!A:B, 2, FALSE), "")</f>
        <v/>
      </c>
      <c r="D489" s="10"/>
      <c r="E489" s="10"/>
      <c r="F489" s="25">
        <v>0.0</v>
      </c>
      <c r="G489" s="10"/>
    </row>
    <row r="490">
      <c r="A490" s="22"/>
      <c r="B490" s="10"/>
      <c r="C490" s="18" t="str">
        <f>IFERROR(VLOOKUP(B490, 'Project Master'!A:B, 2, FALSE), "")</f>
        <v/>
      </c>
      <c r="D490" s="10"/>
      <c r="E490" s="10"/>
      <c r="F490" s="25">
        <v>0.0</v>
      </c>
      <c r="G490" s="10"/>
    </row>
    <row r="491">
      <c r="A491" s="22"/>
      <c r="B491" s="10"/>
      <c r="C491" s="18" t="str">
        <f>IFERROR(VLOOKUP(B491, 'Project Master'!A:B, 2, FALSE), "")</f>
        <v/>
      </c>
      <c r="D491" s="10"/>
      <c r="E491" s="10"/>
      <c r="F491" s="25">
        <v>0.0</v>
      </c>
      <c r="G491" s="10"/>
    </row>
    <row r="492">
      <c r="A492" s="22"/>
      <c r="B492" s="10"/>
      <c r="C492" s="18" t="str">
        <f>IFERROR(VLOOKUP(B492, 'Project Master'!A:B, 2, FALSE), "")</f>
        <v/>
      </c>
      <c r="D492" s="10"/>
      <c r="E492" s="10"/>
      <c r="F492" s="25">
        <v>0.0</v>
      </c>
      <c r="G492" s="10"/>
    </row>
    <row r="493">
      <c r="A493" s="22"/>
      <c r="B493" s="10"/>
      <c r="C493" s="18" t="str">
        <f>IFERROR(VLOOKUP(B493, 'Project Master'!A:B, 2, FALSE), "")</f>
        <v/>
      </c>
      <c r="D493" s="10"/>
      <c r="E493" s="10"/>
      <c r="F493" s="25">
        <v>0.0</v>
      </c>
      <c r="G493" s="10"/>
    </row>
    <row r="494">
      <c r="A494" s="22"/>
      <c r="B494" s="10"/>
      <c r="C494" s="18" t="str">
        <f>IFERROR(VLOOKUP(B494, 'Project Master'!A:B, 2, FALSE), "")</f>
        <v/>
      </c>
      <c r="D494" s="10"/>
      <c r="E494" s="10"/>
      <c r="F494" s="25">
        <v>0.0</v>
      </c>
      <c r="G494" s="10"/>
    </row>
    <row r="495">
      <c r="A495" s="22"/>
      <c r="B495" s="10"/>
      <c r="C495" s="18" t="str">
        <f>IFERROR(VLOOKUP(B495, 'Project Master'!A:B, 2, FALSE), "")</f>
        <v/>
      </c>
      <c r="D495" s="10"/>
      <c r="E495" s="10"/>
      <c r="F495" s="25">
        <v>0.0</v>
      </c>
      <c r="G495" s="10"/>
    </row>
    <row r="496">
      <c r="A496" s="22"/>
      <c r="B496" s="10"/>
      <c r="C496" s="18" t="str">
        <f>IFERROR(VLOOKUP(B496, 'Project Master'!A:B, 2, FALSE), "")</f>
        <v/>
      </c>
      <c r="D496" s="10"/>
      <c r="E496" s="10"/>
      <c r="F496" s="25">
        <v>0.0</v>
      </c>
      <c r="G496" s="10"/>
    </row>
    <row r="497">
      <c r="A497" s="22"/>
      <c r="B497" s="10"/>
      <c r="C497" s="18" t="str">
        <f>IFERROR(VLOOKUP(B497, 'Project Master'!A:B, 2, FALSE), "")</f>
        <v/>
      </c>
      <c r="D497" s="10"/>
      <c r="E497" s="10"/>
      <c r="F497" s="25">
        <v>0.0</v>
      </c>
      <c r="G497" s="10"/>
    </row>
    <row r="498">
      <c r="A498" s="22"/>
      <c r="B498" s="10"/>
      <c r="C498" s="18" t="str">
        <f>IFERROR(VLOOKUP(B498, 'Project Master'!A:B, 2, FALSE), "")</f>
        <v/>
      </c>
      <c r="D498" s="10"/>
      <c r="E498" s="10"/>
      <c r="F498" s="25">
        <v>0.0</v>
      </c>
      <c r="G498" s="10"/>
    </row>
    <row r="499">
      <c r="A499" s="22"/>
      <c r="B499" s="10"/>
      <c r="C499" s="18" t="str">
        <f>IFERROR(VLOOKUP(B499, 'Project Master'!A:B, 2, FALSE), "")</f>
        <v/>
      </c>
      <c r="D499" s="10"/>
      <c r="E499" s="10"/>
      <c r="F499" s="25">
        <v>0.0</v>
      </c>
      <c r="G499" s="10"/>
    </row>
    <row r="500">
      <c r="A500" s="22"/>
      <c r="B500" s="10"/>
      <c r="C500" s="18" t="str">
        <f>IFERROR(VLOOKUP(B500, 'Project Master'!A:B, 2, FALSE), "")</f>
        <v/>
      </c>
      <c r="D500" s="10"/>
      <c r="E500" s="10"/>
      <c r="F500" s="25">
        <v>0.0</v>
      </c>
      <c r="G500" s="10"/>
    </row>
    <row r="501">
      <c r="A501" s="22"/>
      <c r="B501" s="10"/>
      <c r="C501" s="18" t="str">
        <f>IFERROR(VLOOKUP(B501, 'Project Master'!A:B, 2, FALSE), "")</f>
        <v/>
      </c>
      <c r="F501" s="25">
        <v>0.0</v>
      </c>
    </row>
    <row r="502">
      <c r="A502" s="22"/>
      <c r="B502" s="10"/>
      <c r="C502" s="18" t="str">
        <f>IFERROR(VLOOKUP(B502, 'Project Master'!A:B, 2, FALSE), "")</f>
        <v/>
      </c>
      <c r="F502" s="25">
        <v>0.0</v>
      </c>
    </row>
    <row r="503">
      <c r="A503" s="22"/>
      <c r="B503" s="10"/>
      <c r="C503" s="18" t="str">
        <f>IFERROR(VLOOKUP(B503, 'Project Master'!A:B, 2, FALSE), "")</f>
        <v/>
      </c>
      <c r="F503" s="25">
        <v>0.0</v>
      </c>
    </row>
    <row r="504">
      <c r="A504" s="22"/>
      <c r="B504" s="10"/>
      <c r="C504" s="18" t="str">
        <f>IFERROR(VLOOKUP(B504, 'Project Master'!A:B, 2, FALSE), "")</f>
        <v/>
      </c>
      <c r="F504" s="25">
        <v>0.0</v>
      </c>
    </row>
    <row r="505">
      <c r="A505" s="22"/>
      <c r="B505" s="10"/>
      <c r="C505" s="18" t="str">
        <f>IFERROR(VLOOKUP(B505, 'Project Master'!A:B, 2, FALSE), "")</f>
        <v/>
      </c>
      <c r="F505" s="25">
        <v>0.0</v>
      </c>
    </row>
    <row r="506">
      <c r="A506" s="22"/>
      <c r="B506" s="10"/>
      <c r="C506" s="18" t="str">
        <f>IFERROR(VLOOKUP(B506, 'Project Master'!A:B, 2, FALSE), "")</f>
        <v/>
      </c>
      <c r="F506" s="25">
        <v>0.0</v>
      </c>
    </row>
    <row r="507">
      <c r="A507" s="22"/>
      <c r="B507" s="10"/>
      <c r="C507" s="18" t="str">
        <f>IFERROR(VLOOKUP(B507, 'Project Master'!A:B, 2, FALSE), "")</f>
        <v/>
      </c>
      <c r="F507" s="25">
        <v>0.0</v>
      </c>
    </row>
    <row r="508">
      <c r="A508" s="22"/>
      <c r="B508" s="10"/>
      <c r="C508" s="18" t="str">
        <f>IFERROR(VLOOKUP(B508, 'Project Master'!A:B, 2, FALSE), "")</f>
        <v/>
      </c>
      <c r="F508" s="25">
        <v>0.0</v>
      </c>
    </row>
    <row r="509">
      <c r="A509" s="22"/>
      <c r="B509" s="10"/>
      <c r="C509" s="18" t="str">
        <f>IFERROR(VLOOKUP(B509, 'Project Master'!A:B, 2, FALSE), "")</f>
        <v/>
      </c>
      <c r="F509" s="25">
        <v>0.0</v>
      </c>
    </row>
    <row r="510">
      <c r="A510" s="22"/>
      <c r="B510" s="10"/>
      <c r="C510" s="18" t="str">
        <f>IFERROR(VLOOKUP(B510, 'Project Master'!A:B, 2, FALSE), "")</f>
        <v/>
      </c>
      <c r="F510" s="25">
        <v>0.0</v>
      </c>
    </row>
    <row r="511">
      <c r="A511" s="22"/>
      <c r="B511" s="10"/>
      <c r="C511" s="18" t="str">
        <f>IFERROR(VLOOKUP(B511, 'Project Master'!A:B, 2, FALSE), "")</f>
        <v/>
      </c>
      <c r="F511" s="25">
        <v>0.0</v>
      </c>
    </row>
    <row r="512">
      <c r="A512" s="22"/>
      <c r="B512" s="10"/>
      <c r="C512" s="18" t="str">
        <f>IFERROR(VLOOKUP(B512, 'Project Master'!A:B, 2, FALSE), "")</f>
        <v/>
      </c>
      <c r="F512" s="25">
        <v>0.0</v>
      </c>
    </row>
    <row r="513">
      <c r="A513" s="22"/>
      <c r="B513" s="10"/>
      <c r="C513" s="18" t="str">
        <f>IFERROR(VLOOKUP(B513, 'Project Master'!A:B, 2, FALSE), "")</f>
        <v/>
      </c>
      <c r="F513" s="25">
        <v>0.0</v>
      </c>
    </row>
    <row r="514">
      <c r="A514" s="22"/>
      <c r="B514" s="10"/>
      <c r="C514" s="18" t="str">
        <f>IFERROR(VLOOKUP(B514, 'Project Master'!A:B, 2, FALSE), "")</f>
        <v/>
      </c>
      <c r="F514" s="25">
        <v>0.0</v>
      </c>
    </row>
    <row r="515">
      <c r="A515" s="22"/>
      <c r="B515" s="10"/>
      <c r="C515" s="18" t="str">
        <f>IFERROR(VLOOKUP(B515, 'Project Master'!A:B, 2, FALSE), "")</f>
        <v/>
      </c>
      <c r="F515" s="25">
        <v>0.0</v>
      </c>
    </row>
    <row r="516">
      <c r="A516" s="22"/>
      <c r="B516" s="10"/>
      <c r="C516" s="18" t="str">
        <f>IFERROR(VLOOKUP(B516, 'Project Master'!A:B, 2, FALSE), "")</f>
        <v/>
      </c>
      <c r="F516" s="25">
        <v>0.0</v>
      </c>
    </row>
    <row r="517">
      <c r="A517" s="22"/>
      <c r="B517" s="10"/>
      <c r="C517" s="18" t="str">
        <f>IFERROR(VLOOKUP(B517, 'Project Master'!A:B, 2, FALSE), "")</f>
        <v/>
      </c>
      <c r="F517" s="25">
        <v>0.0</v>
      </c>
    </row>
    <row r="518">
      <c r="A518" s="22"/>
      <c r="B518" s="10"/>
      <c r="C518" s="18" t="str">
        <f>IFERROR(VLOOKUP(B518, 'Project Master'!A:B, 2, FALSE), "")</f>
        <v/>
      </c>
      <c r="F518" s="25">
        <v>0.0</v>
      </c>
    </row>
    <row r="519">
      <c r="A519" s="22"/>
      <c r="B519" s="10"/>
      <c r="C519" s="18" t="str">
        <f>IFERROR(VLOOKUP(B519, 'Project Master'!A:B, 2, FALSE), "")</f>
        <v/>
      </c>
      <c r="F519" s="25">
        <v>0.0</v>
      </c>
    </row>
    <row r="520">
      <c r="A520" s="22"/>
      <c r="B520" s="10"/>
      <c r="C520" s="18" t="str">
        <f>IFERROR(VLOOKUP(B520, 'Project Master'!A:B, 2, FALSE), "")</f>
        <v/>
      </c>
      <c r="F520" s="25">
        <v>0.0</v>
      </c>
    </row>
    <row r="521">
      <c r="A521" s="22"/>
      <c r="B521" s="10"/>
      <c r="C521" s="18" t="str">
        <f>IFERROR(VLOOKUP(B521, 'Project Master'!A:B, 2, FALSE), "")</f>
        <v/>
      </c>
      <c r="F521" s="25">
        <v>0.0</v>
      </c>
    </row>
    <row r="522">
      <c r="A522" s="22"/>
      <c r="B522" s="10"/>
      <c r="C522" s="18" t="str">
        <f>IFERROR(VLOOKUP(B522, 'Project Master'!A:B, 2, FALSE), "")</f>
        <v/>
      </c>
      <c r="F522" s="25">
        <v>0.0</v>
      </c>
    </row>
    <row r="523">
      <c r="A523" s="22"/>
      <c r="B523" s="10"/>
      <c r="C523" s="18" t="str">
        <f>IFERROR(VLOOKUP(B523, 'Project Master'!A:B, 2, FALSE), "")</f>
        <v/>
      </c>
      <c r="F523" s="25">
        <v>0.0</v>
      </c>
    </row>
    <row r="524">
      <c r="A524" s="22"/>
      <c r="B524" s="10"/>
      <c r="C524" s="18" t="str">
        <f>IFERROR(VLOOKUP(B524, 'Project Master'!A:B, 2, FALSE), "")</f>
        <v/>
      </c>
      <c r="F524" s="25">
        <v>0.0</v>
      </c>
    </row>
    <row r="525">
      <c r="A525" s="22"/>
      <c r="B525" s="10"/>
      <c r="C525" s="18" t="str">
        <f>IFERROR(VLOOKUP(B525, 'Project Master'!A:B, 2, FALSE), "")</f>
        <v/>
      </c>
      <c r="F525" s="25">
        <v>0.0</v>
      </c>
    </row>
    <row r="526">
      <c r="A526" s="22"/>
      <c r="B526" s="10"/>
      <c r="C526" s="18" t="str">
        <f>IFERROR(VLOOKUP(B526, 'Project Master'!A:B, 2, FALSE), "")</f>
        <v/>
      </c>
      <c r="F526" s="25">
        <v>0.0</v>
      </c>
    </row>
    <row r="527">
      <c r="A527" s="22"/>
      <c r="B527" s="10"/>
      <c r="C527" s="18" t="str">
        <f>IFERROR(VLOOKUP(B527, 'Project Master'!A:B, 2, FALSE), "")</f>
        <v/>
      </c>
      <c r="F527" s="25">
        <v>0.0</v>
      </c>
    </row>
    <row r="528">
      <c r="A528" s="22"/>
      <c r="B528" s="10"/>
      <c r="C528" s="18" t="str">
        <f>IFERROR(VLOOKUP(B528, 'Project Master'!A:B, 2, FALSE), "")</f>
        <v/>
      </c>
      <c r="F528" s="25">
        <v>0.0</v>
      </c>
    </row>
    <row r="529">
      <c r="A529" s="22"/>
      <c r="B529" s="10"/>
      <c r="C529" s="18" t="str">
        <f>IFERROR(VLOOKUP(B529, 'Project Master'!A:B, 2, FALSE), "")</f>
        <v/>
      </c>
      <c r="F529" s="25">
        <v>0.0</v>
      </c>
    </row>
    <row r="530">
      <c r="A530" s="22"/>
      <c r="B530" s="10"/>
      <c r="C530" s="18" t="str">
        <f>IFERROR(VLOOKUP(B530, 'Project Master'!A:B, 2, FALSE), "")</f>
        <v/>
      </c>
      <c r="F530" s="25">
        <v>0.0</v>
      </c>
    </row>
    <row r="531">
      <c r="A531" s="22"/>
      <c r="B531" s="10"/>
      <c r="C531" s="18" t="str">
        <f>IFERROR(VLOOKUP(B531, 'Project Master'!A:B, 2, FALSE), "")</f>
        <v/>
      </c>
      <c r="F531" s="25">
        <v>0.0</v>
      </c>
    </row>
    <row r="532">
      <c r="A532" s="22"/>
      <c r="B532" s="10"/>
      <c r="F532" s="25">
        <v>0.0</v>
      </c>
    </row>
    <row r="533">
      <c r="A533" s="22"/>
      <c r="B533" s="10"/>
    </row>
    <row r="534">
      <c r="A534" s="22"/>
      <c r="B534" s="10"/>
    </row>
    <row r="535">
      <c r="A535" s="22"/>
      <c r="B535" s="10"/>
    </row>
    <row r="536">
      <c r="A536" s="22"/>
      <c r="B536" s="10"/>
    </row>
    <row r="537">
      <c r="A537" s="22"/>
      <c r="B537" s="10"/>
    </row>
    <row r="538">
      <c r="A538" s="22"/>
      <c r="B538" s="10"/>
    </row>
    <row r="539">
      <c r="A539" s="22"/>
      <c r="B539" s="10"/>
    </row>
    <row r="540">
      <c r="A540" s="22"/>
      <c r="B540" s="10"/>
    </row>
    <row r="541">
      <c r="A541" s="22"/>
      <c r="B541" s="10"/>
    </row>
    <row r="542">
      <c r="A542" s="22"/>
      <c r="B542" s="10"/>
    </row>
    <row r="543">
      <c r="A543" s="22"/>
      <c r="B543" s="10"/>
    </row>
    <row r="544">
      <c r="A544" s="22"/>
      <c r="B544" s="10"/>
    </row>
    <row r="545">
      <c r="A545" s="22"/>
      <c r="B545" s="10"/>
    </row>
    <row r="546">
      <c r="A546" s="22"/>
      <c r="B546" s="10"/>
    </row>
    <row r="547">
      <c r="A547" s="22"/>
      <c r="B547" s="10"/>
    </row>
    <row r="548">
      <c r="A548" s="22"/>
      <c r="B548" s="10"/>
    </row>
    <row r="549">
      <c r="A549" s="22"/>
      <c r="B549" s="10"/>
    </row>
    <row r="550">
      <c r="A550" s="22"/>
      <c r="B550" s="10"/>
    </row>
    <row r="551">
      <c r="A551" s="22"/>
      <c r="B551" s="10"/>
    </row>
    <row r="552">
      <c r="A552" s="22"/>
      <c r="B552" s="10"/>
    </row>
    <row r="553">
      <c r="A553" s="22"/>
      <c r="B553" s="10"/>
    </row>
    <row r="554">
      <c r="A554" s="22"/>
      <c r="B554" s="10"/>
    </row>
    <row r="555">
      <c r="A555" s="22"/>
      <c r="B555" s="10"/>
    </row>
    <row r="556">
      <c r="A556" s="22"/>
      <c r="B556" s="10"/>
    </row>
    <row r="557">
      <c r="A557" s="22"/>
      <c r="B557" s="10"/>
    </row>
    <row r="558">
      <c r="A558" s="22"/>
      <c r="B558" s="10"/>
    </row>
    <row r="559">
      <c r="A559" s="22"/>
      <c r="B559" s="10"/>
    </row>
    <row r="560">
      <c r="A560" s="22"/>
      <c r="B560" s="10"/>
    </row>
    <row r="561">
      <c r="A561" s="22"/>
      <c r="B561" s="10"/>
    </row>
    <row r="562">
      <c r="A562" s="22"/>
      <c r="B562" s="10"/>
    </row>
    <row r="563">
      <c r="A563" s="22"/>
      <c r="B563" s="10"/>
    </row>
    <row r="564">
      <c r="A564" s="22"/>
      <c r="B564" s="10"/>
    </row>
    <row r="565">
      <c r="A565" s="22"/>
      <c r="B565" s="10"/>
    </row>
    <row r="566">
      <c r="A566" s="22"/>
      <c r="B566" s="10"/>
    </row>
    <row r="567">
      <c r="A567" s="22"/>
      <c r="B567" s="10"/>
    </row>
    <row r="568">
      <c r="A568" s="22"/>
      <c r="B568" s="10"/>
    </row>
    <row r="569">
      <c r="A569" s="22"/>
      <c r="B569" s="10"/>
    </row>
    <row r="570">
      <c r="A570" s="22"/>
      <c r="B570" s="10"/>
    </row>
    <row r="571">
      <c r="A571" s="22"/>
      <c r="B571" s="10"/>
    </row>
    <row r="572">
      <c r="A572" s="22"/>
      <c r="B572" s="10"/>
    </row>
    <row r="573">
      <c r="A573" s="22"/>
      <c r="B573" s="10"/>
    </row>
    <row r="574">
      <c r="A574" s="22"/>
      <c r="B574" s="10"/>
    </row>
    <row r="575">
      <c r="A575" s="22"/>
      <c r="B575" s="10"/>
    </row>
    <row r="576">
      <c r="A576" s="22"/>
      <c r="B576" s="10"/>
    </row>
    <row r="577">
      <c r="A577" s="22"/>
      <c r="B577" s="10"/>
    </row>
    <row r="578">
      <c r="A578" s="22"/>
      <c r="B578" s="10"/>
    </row>
    <row r="579">
      <c r="A579" s="22"/>
      <c r="B579" s="10"/>
    </row>
    <row r="580">
      <c r="A580" s="22"/>
      <c r="B580" s="10"/>
    </row>
    <row r="581">
      <c r="A581" s="22"/>
      <c r="B581" s="10"/>
    </row>
    <row r="582">
      <c r="A582" s="22"/>
      <c r="B582" s="10"/>
    </row>
    <row r="583">
      <c r="A583" s="22"/>
      <c r="B583" s="10"/>
    </row>
    <row r="584">
      <c r="A584" s="22"/>
      <c r="B584" s="10"/>
    </row>
    <row r="585">
      <c r="A585" s="22"/>
      <c r="B585" s="10"/>
    </row>
    <row r="586">
      <c r="A586" s="22"/>
      <c r="B586" s="10"/>
    </row>
    <row r="587">
      <c r="A587" s="22"/>
      <c r="B587" s="10"/>
    </row>
    <row r="588">
      <c r="A588" s="22"/>
      <c r="B588" s="10"/>
    </row>
    <row r="589">
      <c r="A589" s="22"/>
      <c r="B589" s="10"/>
    </row>
    <row r="590">
      <c r="A590" s="22"/>
      <c r="B590" s="10"/>
    </row>
    <row r="591">
      <c r="A591" s="22"/>
      <c r="B591" s="10"/>
    </row>
    <row r="592">
      <c r="A592" s="22"/>
      <c r="B592" s="10"/>
    </row>
    <row r="593">
      <c r="A593" s="22"/>
      <c r="B593" s="10"/>
    </row>
    <row r="594">
      <c r="A594" s="22"/>
      <c r="B594" s="10"/>
    </row>
    <row r="595">
      <c r="A595" s="22"/>
      <c r="B595" s="10"/>
    </row>
    <row r="596">
      <c r="A596" s="22"/>
      <c r="B596" s="10"/>
    </row>
    <row r="597">
      <c r="A597" s="22"/>
      <c r="B597" s="10"/>
    </row>
    <row r="598">
      <c r="A598" s="22"/>
      <c r="B598" s="10"/>
    </row>
    <row r="599">
      <c r="A599" s="22"/>
      <c r="B599" s="10"/>
    </row>
    <row r="600">
      <c r="A600" s="22"/>
      <c r="B600" s="10"/>
    </row>
    <row r="601">
      <c r="A601" s="22"/>
      <c r="B601" s="10"/>
    </row>
    <row r="602">
      <c r="A602" s="22"/>
      <c r="B602" s="10"/>
    </row>
    <row r="603">
      <c r="A603" s="22"/>
      <c r="B603" s="10"/>
    </row>
    <row r="604">
      <c r="A604" s="22"/>
      <c r="B604" s="10"/>
    </row>
    <row r="605">
      <c r="A605" s="22"/>
      <c r="B605" s="10"/>
    </row>
    <row r="606">
      <c r="A606" s="22"/>
      <c r="B606" s="10"/>
    </row>
    <row r="607">
      <c r="A607" s="22"/>
      <c r="B607" s="10"/>
    </row>
    <row r="608">
      <c r="A608" s="22"/>
      <c r="B608" s="10"/>
    </row>
    <row r="609">
      <c r="A609" s="22"/>
      <c r="B609" s="10"/>
    </row>
    <row r="610">
      <c r="A610" s="22"/>
      <c r="B610" s="10"/>
    </row>
    <row r="611">
      <c r="A611" s="22"/>
      <c r="B611" s="10"/>
    </row>
    <row r="612">
      <c r="A612" s="22"/>
      <c r="B612" s="10"/>
    </row>
    <row r="613">
      <c r="A613" s="22"/>
      <c r="B613" s="10"/>
    </row>
    <row r="614">
      <c r="A614" s="22"/>
      <c r="B614" s="10"/>
    </row>
    <row r="615">
      <c r="A615" s="22"/>
      <c r="B615" s="10"/>
    </row>
    <row r="616">
      <c r="A616" s="22"/>
      <c r="B616" s="10"/>
    </row>
    <row r="617">
      <c r="A617" s="22"/>
      <c r="B617" s="10"/>
    </row>
    <row r="618">
      <c r="A618" s="22"/>
      <c r="B618" s="10"/>
    </row>
    <row r="619">
      <c r="A619" s="22"/>
      <c r="B619" s="10"/>
    </row>
    <row r="620">
      <c r="A620" s="22"/>
      <c r="B620" s="10"/>
    </row>
    <row r="621">
      <c r="A621" s="22"/>
      <c r="B621" s="10"/>
    </row>
    <row r="622">
      <c r="A622" s="22"/>
      <c r="B622" s="10"/>
    </row>
    <row r="623">
      <c r="A623" s="22"/>
      <c r="B623" s="10"/>
    </row>
    <row r="624">
      <c r="A624" s="22"/>
      <c r="B624" s="10"/>
    </row>
    <row r="625">
      <c r="A625" s="22"/>
      <c r="B625" s="10"/>
    </row>
    <row r="626">
      <c r="A626" s="22"/>
      <c r="B626" s="10"/>
    </row>
    <row r="627">
      <c r="A627" s="22"/>
      <c r="B627" s="10"/>
    </row>
    <row r="628">
      <c r="A628" s="22"/>
      <c r="B628" s="10"/>
    </row>
    <row r="629">
      <c r="A629" s="22"/>
      <c r="B629" s="10"/>
    </row>
    <row r="630">
      <c r="A630" s="22"/>
      <c r="B630" s="10"/>
    </row>
    <row r="631">
      <c r="A631" s="22"/>
      <c r="B631" s="10"/>
    </row>
    <row r="632">
      <c r="A632" s="22"/>
      <c r="B632" s="10"/>
    </row>
    <row r="633">
      <c r="A633" s="22"/>
      <c r="B633" s="10"/>
    </row>
    <row r="634">
      <c r="A634" s="22"/>
      <c r="B634" s="10"/>
    </row>
    <row r="635">
      <c r="A635" s="22"/>
      <c r="B635" s="10"/>
    </row>
    <row r="636">
      <c r="A636" s="22"/>
      <c r="B636" s="10"/>
    </row>
    <row r="637">
      <c r="A637" s="22"/>
      <c r="B637" s="10"/>
    </row>
    <row r="638">
      <c r="A638" s="22"/>
      <c r="B638" s="10"/>
    </row>
    <row r="639">
      <c r="A639" s="22"/>
      <c r="B639" s="10"/>
    </row>
    <row r="640">
      <c r="A640" s="22"/>
      <c r="B640" s="10"/>
    </row>
    <row r="641">
      <c r="A641" s="22"/>
      <c r="B641" s="10"/>
    </row>
    <row r="642">
      <c r="A642" s="22"/>
      <c r="B642" s="10"/>
    </row>
    <row r="643">
      <c r="A643" s="22"/>
      <c r="B643" s="10"/>
    </row>
    <row r="644">
      <c r="A644" s="22"/>
      <c r="B644" s="10"/>
    </row>
    <row r="645">
      <c r="A645" s="22"/>
      <c r="B645" s="10"/>
    </row>
    <row r="646">
      <c r="A646" s="22"/>
      <c r="B646" s="10"/>
    </row>
    <row r="647">
      <c r="A647" s="22"/>
      <c r="B647" s="10"/>
    </row>
    <row r="648">
      <c r="A648" s="22"/>
      <c r="B648" s="10"/>
    </row>
    <row r="649">
      <c r="A649" s="22"/>
      <c r="B649" s="10"/>
    </row>
    <row r="650">
      <c r="A650" s="22"/>
      <c r="B650" s="10"/>
    </row>
    <row r="651">
      <c r="A651" s="22"/>
      <c r="B651" s="10"/>
    </row>
    <row r="652">
      <c r="A652" s="22"/>
      <c r="B652" s="10"/>
    </row>
    <row r="653">
      <c r="A653" s="22"/>
      <c r="B653" s="10"/>
    </row>
    <row r="654">
      <c r="A654" s="22"/>
      <c r="B654" s="10"/>
    </row>
    <row r="655">
      <c r="A655" s="22"/>
      <c r="B655" s="10"/>
    </row>
    <row r="656">
      <c r="A656" s="22"/>
      <c r="B656" s="10"/>
    </row>
    <row r="657">
      <c r="A657" s="22"/>
      <c r="B657" s="10"/>
    </row>
    <row r="658">
      <c r="A658" s="22"/>
      <c r="B658" s="10"/>
    </row>
    <row r="659">
      <c r="A659" s="22"/>
      <c r="B659" s="10"/>
    </row>
    <row r="660">
      <c r="A660" s="22"/>
      <c r="B660" s="10"/>
    </row>
    <row r="661">
      <c r="A661" s="22"/>
      <c r="B661" s="10"/>
    </row>
    <row r="662">
      <c r="A662" s="22"/>
      <c r="B662" s="10"/>
    </row>
    <row r="663">
      <c r="A663" s="22"/>
      <c r="B663" s="10"/>
    </row>
    <row r="664">
      <c r="A664" s="22"/>
      <c r="B664" s="10"/>
    </row>
    <row r="665">
      <c r="A665" s="22"/>
      <c r="B665" s="10"/>
    </row>
    <row r="666">
      <c r="A666" s="22"/>
      <c r="B666" s="10"/>
    </row>
    <row r="667">
      <c r="A667" s="22"/>
      <c r="B667" s="10"/>
    </row>
    <row r="668">
      <c r="A668" s="22"/>
      <c r="B668" s="10"/>
    </row>
    <row r="669">
      <c r="A669" s="22"/>
      <c r="B669" s="10"/>
    </row>
    <row r="670">
      <c r="A670" s="22"/>
      <c r="B670" s="10"/>
    </row>
    <row r="671">
      <c r="A671" s="22"/>
      <c r="B671" s="10"/>
    </row>
    <row r="672">
      <c r="A672" s="22"/>
      <c r="B672" s="10"/>
    </row>
    <row r="673">
      <c r="A673" s="22"/>
      <c r="B673" s="10"/>
    </row>
    <row r="674">
      <c r="A674" s="22"/>
      <c r="B674" s="10"/>
    </row>
    <row r="675">
      <c r="A675" s="22"/>
      <c r="B675" s="10"/>
    </row>
    <row r="676">
      <c r="A676" s="22"/>
      <c r="B676" s="10"/>
    </row>
    <row r="677">
      <c r="A677" s="22"/>
      <c r="B677" s="10"/>
    </row>
    <row r="678">
      <c r="A678" s="22"/>
      <c r="B678" s="10"/>
    </row>
    <row r="679">
      <c r="A679" s="22"/>
      <c r="B679" s="10"/>
    </row>
    <row r="680">
      <c r="A680" s="22"/>
      <c r="B680" s="10"/>
    </row>
    <row r="681">
      <c r="A681" s="22"/>
      <c r="B681" s="10"/>
    </row>
    <row r="682">
      <c r="A682" s="22"/>
      <c r="B682" s="10"/>
    </row>
    <row r="683">
      <c r="A683" s="22"/>
      <c r="B683" s="10"/>
    </row>
    <row r="684">
      <c r="A684" s="22"/>
      <c r="B684" s="10"/>
    </row>
    <row r="685">
      <c r="A685" s="22"/>
      <c r="B685" s="10"/>
    </row>
    <row r="686">
      <c r="A686" s="22"/>
      <c r="B686" s="10"/>
    </row>
    <row r="687">
      <c r="A687" s="22"/>
      <c r="B687" s="10"/>
    </row>
    <row r="688">
      <c r="A688" s="22"/>
      <c r="B688" s="10"/>
    </row>
    <row r="689">
      <c r="A689" s="22"/>
      <c r="B689" s="10"/>
    </row>
    <row r="690">
      <c r="A690" s="22"/>
      <c r="B690" s="10"/>
    </row>
    <row r="691">
      <c r="A691" s="22"/>
      <c r="B691" s="10"/>
    </row>
    <row r="692">
      <c r="A692" s="22"/>
      <c r="B692" s="10"/>
    </row>
    <row r="693">
      <c r="A693" s="22"/>
      <c r="B693" s="10"/>
    </row>
    <row r="694">
      <c r="A694" s="22"/>
      <c r="B694" s="10"/>
    </row>
    <row r="695">
      <c r="A695" s="22"/>
      <c r="B695" s="10"/>
    </row>
    <row r="696">
      <c r="A696" s="22"/>
      <c r="B696" s="10"/>
    </row>
    <row r="697">
      <c r="A697" s="22"/>
      <c r="B697" s="10"/>
    </row>
    <row r="698">
      <c r="A698" s="22"/>
      <c r="B698" s="10"/>
    </row>
    <row r="699">
      <c r="A699" s="22"/>
      <c r="B699" s="10"/>
    </row>
    <row r="700">
      <c r="A700" s="22"/>
      <c r="B700" s="10"/>
    </row>
    <row r="701">
      <c r="A701" s="22"/>
      <c r="B701" s="10"/>
    </row>
    <row r="702">
      <c r="A702" s="22"/>
      <c r="B702" s="10"/>
    </row>
    <row r="703">
      <c r="A703" s="22"/>
      <c r="B703" s="10"/>
    </row>
    <row r="704">
      <c r="A704" s="22"/>
      <c r="B704" s="10"/>
    </row>
    <row r="705">
      <c r="A705" s="22"/>
      <c r="B705" s="10"/>
    </row>
    <row r="706">
      <c r="A706" s="22"/>
      <c r="B706" s="10"/>
    </row>
    <row r="707">
      <c r="A707" s="22"/>
      <c r="B707" s="10"/>
    </row>
    <row r="708">
      <c r="A708" s="22"/>
      <c r="B708" s="10"/>
    </row>
    <row r="709">
      <c r="A709" s="22"/>
      <c r="B709" s="10"/>
    </row>
    <row r="710">
      <c r="A710" s="22"/>
      <c r="B710" s="10"/>
    </row>
    <row r="711">
      <c r="A711" s="22"/>
      <c r="B711" s="10"/>
    </row>
    <row r="712">
      <c r="A712" s="22"/>
      <c r="B712" s="10"/>
    </row>
    <row r="713">
      <c r="A713" s="22"/>
      <c r="B713" s="10"/>
    </row>
    <row r="714">
      <c r="A714" s="22"/>
      <c r="B714" s="10"/>
    </row>
    <row r="715">
      <c r="A715" s="22"/>
      <c r="B715" s="10"/>
    </row>
    <row r="716">
      <c r="A716" s="22"/>
      <c r="B716" s="10"/>
    </row>
    <row r="717">
      <c r="A717" s="22"/>
      <c r="B717" s="10"/>
    </row>
    <row r="718">
      <c r="A718" s="22"/>
      <c r="B718" s="10"/>
    </row>
    <row r="719">
      <c r="A719" s="22"/>
      <c r="B719" s="10"/>
    </row>
    <row r="720">
      <c r="A720" s="22"/>
      <c r="B720" s="10"/>
    </row>
    <row r="721">
      <c r="A721" s="22"/>
      <c r="B721" s="10"/>
    </row>
    <row r="722">
      <c r="A722" s="22"/>
      <c r="B722" s="10"/>
    </row>
    <row r="723">
      <c r="A723" s="22"/>
      <c r="B723" s="10"/>
    </row>
    <row r="724">
      <c r="A724" s="22"/>
      <c r="B724" s="10"/>
    </row>
    <row r="725">
      <c r="A725" s="22"/>
      <c r="B725" s="10"/>
    </row>
    <row r="726">
      <c r="A726" s="22"/>
      <c r="B726" s="10"/>
    </row>
    <row r="727">
      <c r="A727" s="22"/>
      <c r="B727" s="10"/>
    </row>
    <row r="728">
      <c r="A728" s="22"/>
      <c r="B728" s="10"/>
    </row>
    <row r="729">
      <c r="A729" s="22"/>
      <c r="B729" s="10"/>
    </row>
    <row r="730">
      <c r="A730" s="22"/>
      <c r="B730" s="10"/>
    </row>
    <row r="731">
      <c r="A731" s="22"/>
      <c r="B731" s="10"/>
    </row>
    <row r="732">
      <c r="A732" s="22"/>
      <c r="B732" s="10"/>
    </row>
    <row r="733">
      <c r="A733" s="22"/>
      <c r="B733" s="10"/>
    </row>
    <row r="734">
      <c r="A734" s="22"/>
      <c r="B734" s="10"/>
    </row>
    <row r="735">
      <c r="A735" s="22"/>
      <c r="B735" s="10"/>
    </row>
    <row r="736">
      <c r="A736" s="22"/>
      <c r="B736" s="10"/>
    </row>
    <row r="737">
      <c r="A737" s="22"/>
      <c r="B737" s="10"/>
    </row>
    <row r="738">
      <c r="A738" s="22"/>
      <c r="B738" s="10"/>
    </row>
    <row r="739">
      <c r="A739" s="22"/>
      <c r="B739" s="10"/>
    </row>
    <row r="740">
      <c r="A740" s="22"/>
      <c r="B740" s="10"/>
    </row>
    <row r="741">
      <c r="A741" s="22"/>
      <c r="B741" s="10"/>
    </row>
    <row r="742">
      <c r="A742" s="22"/>
      <c r="B742" s="10"/>
    </row>
    <row r="743">
      <c r="A743" s="22"/>
      <c r="B743" s="10"/>
    </row>
    <row r="744">
      <c r="A744" s="22"/>
      <c r="B744" s="10"/>
    </row>
    <row r="745">
      <c r="A745" s="22"/>
      <c r="B745" s="10"/>
    </row>
    <row r="746">
      <c r="A746" s="22"/>
      <c r="B746" s="10"/>
    </row>
    <row r="747">
      <c r="A747" s="22"/>
      <c r="B747" s="10"/>
    </row>
    <row r="748">
      <c r="A748" s="22"/>
      <c r="B748" s="10"/>
    </row>
    <row r="749">
      <c r="A749" s="22"/>
      <c r="B749" s="10"/>
    </row>
    <row r="750">
      <c r="A750" s="22"/>
      <c r="B750" s="10"/>
    </row>
    <row r="751">
      <c r="A751" s="22"/>
      <c r="B751" s="10"/>
    </row>
    <row r="752">
      <c r="A752" s="22"/>
      <c r="B752" s="10"/>
    </row>
    <row r="753">
      <c r="A753" s="22"/>
      <c r="B753" s="10"/>
    </row>
    <row r="754">
      <c r="A754" s="22"/>
      <c r="B754" s="10"/>
    </row>
    <row r="755">
      <c r="A755" s="22"/>
      <c r="B755" s="10"/>
    </row>
    <row r="756">
      <c r="A756" s="22"/>
      <c r="B756" s="10"/>
    </row>
    <row r="757">
      <c r="A757" s="22"/>
      <c r="B757" s="10"/>
    </row>
    <row r="758">
      <c r="A758" s="22"/>
      <c r="B758" s="10"/>
    </row>
    <row r="759">
      <c r="A759" s="22"/>
      <c r="B759" s="10"/>
    </row>
    <row r="760">
      <c r="A760" s="22"/>
      <c r="B760" s="10"/>
    </row>
    <row r="761">
      <c r="A761" s="22"/>
      <c r="B761" s="10"/>
    </row>
    <row r="762">
      <c r="A762" s="22"/>
      <c r="B762" s="10"/>
    </row>
    <row r="763">
      <c r="A763" s="22"/>
      <c r="B763" s="10"/>
    </row>
    <row r="764">
      <c r="A764" s="22"/>
      <c r="B764" s="10"/>
    </row>
    <row r="765">
      <c r="A765" s="22"/>
      <c r="B765" s="10"/>
    </row>
    <row r="766">
      <c r="A766" s="22"/>
      <c r="B766" s="10"/>
    </row>
    <row r="767">
      <c r="A767" s="22"/>
      <c r="B767" s="10"/>
    </row>
    <row r="768">
      <c r="A768" s="22"/>
      <c r="B768" s="10"/>
    </row>
    <row r="769">
      <c r="A769" s="22"/>
      <c r="B769" s="10"/>
    </row>
    <row r="770">
      <c r="A770" s="22"/>
      <c r="B770" s="10"/>
    </row>
    <row r="771">
      <c r="A771" s="22"/>
      <c r="B771" s="10"/>
    </row>
    <row r="772">
      <c r="A772" s="22"/>
      <c r="B772" s="10"/>
    </row>
    <row r="773">
      <c r="A773" s="22"/>
      <c r="B773" s="10"/>
    </row>
    <row r="774">
      <c r="A774" s="22"/>
      <c r="B774" s="10"/>
    </row>
    <row r="775">
      <c r="A775" s="22"/>
      <c r="B775" s="10"/>
    </row>
    <row r="776">
      <c r="A776" s="22"/>
      <c r="B776" s="10"/>
    </row>
    <row r="777">
      <c r="A777" s="22"/>
      <c r="B777" s="10"/>
    </row>
    <row r="778">
      <c r="A778" s="22"/>
      <c r="B778" s="10"/>
    </row>
    <row r="779">
      <c r="A779" s="22"/>
      <c r="B779" s="10"/>
    </row>
    <row r="780">
      <c r="A780" s="22"/>
      <c r="B780" s="10"/>
    </row>
    <row r="781">
      <c r="A781" s="22"/>
      <c r="B781" s="10"/>
    </row>
    <row r="782">
      <c r="A782" s="22"/>
      <c r="B782" s="10"/>
    </row>
    <row r="783">
      <c r="A783" s="22"/>
      <c r="B783" s="10"/>
    </row>
    <row r="784">
      <c r="A784" s="22"/>
      <c r="B784" s="10"/>
    </row>
    <row r="785">
      <c r="A785" s="22"/>
      <c r="B785" s="10"/>
    </row>
    <row r="786">
      <c r="A786" s="22"/>
      <c r="B786" s="10"/>
    </row>
    <row r="787">
      <c r="A787" s="22"/>
      <c r="B787" s="10"/>
    </row>
    <row r="788">
      <c r="A788" s="22"/>
      <c r="B788" s="10"/>
    </row>
    <row r="789">
      <c r="A789" s="22"/>
      <c r="B789" s="10"/>
    </row>
    <row r="790">
      <c r="A790" s="22"/>
      <c r="B790" s="10"/>
    </row>
    <row r="791">
      <c r="A791" s="22"/>
      <c r="B791" s="10"/>
    </row>
    <row r="792">
      <c r="A792" s="22"/>
      <c r="B792" s="10"/>
    </row>
    <row r="793">
      <c r="A793" s="22"/>
      <c r="B793" s="10"/>
    </row>
    <row r="794">
      <c r="A794" s="22"/>
      <c r="B794" s="10"/>
    </row>
    <row r="795">
      <c r="A795" s="22"/>
      <c r="B795" s="10"/>
    </row>
    <row r="796">
      <c r="A796" s="22"/>
      <c r="B796" s="10"/>
    </row>
    <row r="797">
      <c r="A797" s="22"/>
      <c r="B797" s="10"/>
    </row>
    <row r="798">
      <c r="A798" s="22"/>
      <c r="B798" s="10"/>
    </row>
    <row r="799">
      <c r="A799" s="22"/>
      <c r="B799" s="10"/>
    </row>
    <row r="800">
      <c r="A800" s="22"/>
      <c r="B800" s="10"/>
    </row>
    <row r="801">
      <c r="A801" s="22"/>
      <c r="B801" s="10"/>
    </row>
    <row r="802">
      <c r="A802" s="22"/>
      <c r="B802" s="10"/>
    </row>
    <row r="803">
      <c r="A803" s="22"/>
      <c r="B803" s="10"/>
    </row>
    <row r="804">
      <c r="A804" s="22"/>
      <c r="B804" s="10"/>
    </row>
    <row r="805">
      <c r="A805" s="22"/>
      <c r="B805" s="10"/>
    </row>
    <row r="806">
      <c r="A806" s="22"/>
      <c r="B806" s="10"/>
    </row>
    <row r="807">
      <c r="A807" s="22"/>
      <c r="B807" s="10"/>
    </row>
    <row r="808">
      <c r="A808" s="22"/>
      <c r="B808" s="10"/>
    </row>
    <row r="809">
      <c r="A809" s="22"/>
      <c r="B809" s="10"/>
    </row>
    <row r="810">
      <c r="A810" s="22"/>
      <c r="B810" s="10"/>
    </row>
    <row r="811">
      <c r="A811" s="22"/>
      <c r="B811" s="10"/>
    </row>
    <row r="812">
      <c r="A812" s="22"/>
      <c r="B812" s="10"/>
    </row>
    <row r="813">
      <c r="A813" s="22"/>
      <c r="B813" s="10"/>
    </row>
    <row r="814">
      <c r="A814" s="22"/>
      <c r="B814" s="10"/>
    </row>
    <row r="815">
      <c r="A815" s="22"/>
      <c r="B815" s="10"/>
    </row>
    <row r="816">
      <c r="A816" s="22"/>
      <c r="B816" s="10"/>
    </row>
    <row r="817">
      <c r="A817" s="22"/>
      <c r="B817" s="10"/>
    </row>
    <row r="818">
      <c r="A818" s="22"/>
      <c r="B818" s="10"/>
    </row>
    <row r="819">
      <c r="A819" s="22"/>
      <c r="B819" s="10"/>
    </row>
    <row r="820">
      <c r="A820" s="22"/>
      <c r="B820" s="10"/>
    </row>
    <row r="821">
      <c r="A821" s="22"/>
      <c r="B821" s="10"/>
    </row>
    <row r="822">
      <c r="A822" s="22"/>
      <c r="B822" s="10"/>
    </row>
    <row r="823">
      <c r="A823" s="22"/>
      <c r="B823" s="10"/>
    </row>
    <row r="824">
      <c r="A824" s="22"/>
      <c r="B824" s="10"/>
    </row>
    <row r="825">
      <c r="A825" s="22"/>
      <c r="B825" s="10"/>
    </row>
    <row r="826">
      <c r="A826" s="22"/>
      <c r="B826" s="10"/>
    </row>
    <row r="827">
      <c r="A827" s="22"/>
      <c r="B827" s="10"/>
    </row>
    <row r="828">
      <c r="A828" s="22"/>
      <c r="B828" s="10"/>
    </row>
    <row r="829">
      <c r="A829" s="22"/>
      <c r="B829" s="10"/>
    </row>
    <row r="830">
      <c r="A830" s="22"/>
      <c r="B830" s="10"/>
    </row>
    <row r="831">
      <c r="A831" s="22"/>
      <c r="B831" s="10"/>
    </row>
    <row r="832">
      <c r="A832" s="22"/>
      <c r="B832" s="10"/>
    </row>
    <row r="833">
      <c r="A833" s="22"/>
      <c r="B833" s="10"/>
    </row>
    <row r="834">
      <c r="A834" s="22"/>
      <c r="B834" s="10"/>
    </row>
    <row r="835">
      <c r="A835" s="22"/>
      <c r="B835" s="10"/>
    </row>
    <row r="836">
      <c r="A836" s="22"/>
      <c r="B836" s="10"/>
    </row>
    <row r="837">
      <c r="A837" s="22"/>
      <c r="B837" s="10"/>
    </row>
    <row r="838">
      <c r="A838" s="22"/>
      <c r="B838" s="10"/>
    </row>
    <row r="839">
      <c r="A839" s="22"/>
      <c r="B839" s="10"/>
    </row>
    <row r="840">
      <c r="A840" s="22"/>
      <c r="B840" s="10"/>
    </row>
    <row r="841">
      <c r="A841" s="22"/>
      <c r="B841" s="10"/>
    </row>
    <row r="842">
      <c r="A842" s="22"/>
      <c r="B842" s="10"/>
    </row>
    <row r="843">
      <c r="A843" s="22"/>
      <c r="B843" s="10"/>
    </row>
    <row r="844">
      <c r="A844" s="22"/>
      <c r="B844" s="10"/>
    </row>
    <row r="845">
      <c r="A845" s="22"/>
      <c r="B845" s="10"/>
    </row>
    <row r="846">
      <c r="A846" s="22"/>
      <c r="B846" s="10"/>
    </row>
    <row r="847">
      <c r="A847" s="22"/>
      <c r="B847" s="10"/>
    </row>
    <row r="848">
      <c r="A848" s="22"/>
      <c r="B848" s="10"/>
    </row>
    <row r="849">
      <c r="A849" s="22"/>
      <c r="B849" s="10"/>
    </row>
    <row r="850">
      <c r="A850" s="22"/>
      <c r="B850" s="10"/>
    </row>
    <row r="851">
      <c r="A851" s="22"/>
      <c r="B851" s="10"/>
    </row>
    <row r="852">
      <c r="A852" s="22"/>
      <c r="B852" s="10"/>
    </row>
    <row r="853">
      <c r="A853" s="22"/>
      <c r="B853" s="10"/>
    </row>
    <row r="854">
      <c r="A854" s="22"/>
      <c r="B854" s="10"/>
    </row>
    <row r="855">
      <c r="A855" s="22"/>
      <c r="B855" s="10"/>
    </row>
    <row r="856">
      <c r="A856" s="22"/>
      <c r="B856" s="10"/>
    </row>
    <row r="857">
      <c r="A857" s="22"/>
      <c r="B857" s="10"/>
    </row>
    <row r="858">
      <c r="A858" s="22"/>
      <c r="B858" s="10"/>
    </row>
    <row r="859">
      <c r="A859" s="22"/>
      <c r="B859" s="10"/>
    </row>
    <row r="860">
      <c r="A860" s="22"/>
      <c r="B860" s="10"/>
    </row>
    <row r="861">
      <c r="A861" s="22"/>
      <c r="B861" s="10"/>
    </row>
    <row r="862">
      <c r="A862" s="22"/>
      <c r="B862" s="10"/>
    </row>
    <row r="863">
      <c r="A863" s="22"/>
      <c r="B863" s="10"/>
    </row>
    <row r="864">
      <c r="A864" s="22"/>
      <c r="B864" s="10"/>
    </row>
    <row r="865">
      <c r="A865" s="22"/>
      <c r="B865" s="10"/>
    </row>
    <row r="866">
      <c r="A866" s="22"/>
      <c r="B866" s="10"/>
    </row>
    <row r="867">
      <c r="A867" s="22"/>
      <c r="B867" s="10"/>
    </row>
    <row r="868">
      <c r="A868" s="22"/>
      <c r="B868" s="10"/>
    </row>
    <row r="869">
      <c r="A869" s="22"/>
      <c r="B869" s="10"/>
    </row>
    <row r="870">
      <c r="A870" s="22"/>
      <c r="B870" s="10"/>
    </row>
    <row r="871">
      <c r="A871" s="22"/>
      <c r="B871" s="10"/>
    </row>
    <row r="872">
      <c r="A872" s="22"/>
      <c r="B872" s="10"/>
    </row>
    <row r="873">
      <c r="A873" s="22"/>
      <c r="B873" s="10"/>
    </row>
    <row r="874">
      <c r="A874" s="22"/>
      <c r="B874" s="10"/>
    </row>
    <row r="875">
      <c r="A875" s="22"/>
      <c r="B875" s="10"/>
    </row>
    <row r="876">
      <c r="A876" s="22"/>
      <c r="B876" s="10"/>
    </row>
    <row r="877">
      <c r="A877" s="22"/>
      <c r="B877" s="10"/>
    </row>
    <row r="878">
      <c r="A878" s="22"/>
      <c r="B878" s="10"/>
    </row>
    <row r="879">
      <c r="A879" s="22"/>
      <c r="B879" s="10"/>
    </row>
    <row r="880">
      <c r="A880" s="22"/>
      <c r="B880" s="10"/>
    </row>
    <row r="881">
      <c r="A881" s="22"/>
      <c r="B881" s="10"/>
    </row>
    <row r="882">
      <c r="A882" s="22"/>
      <c r="B882" s="10"/>
    </row>
    <row r="883">
      <c r="A883" s="22"/>
      <c r="B883" s="10"/>
    </row>
    <row r="884">
      <c r="A884" s="22"/>
      <c r="B884" s="10"/>
    </row>
    <row r="885">
      <c r="A885" s="22"/>
      <c r="B885" s="10"/>
    </row>
    <row r="886">
      <c r="A886" s="22"/>
      <c r="B886" s="10"/>
    </row>
    <row r="887">
      <c r="A887" s="22"/>
      <c r="B887" s="10"/>
    </row>
    <row r="888">
      <c r="A888" s="22"/>
      <c r="B888" s="10"/>
    </row>
    <row r="889">
      <c r="A889" s="22"/>
      <c r="B889" s="10"/>
    </row>
    <row r="890">
      <c r="A890" s="22"/>
      <c r="B890" s="10"/>
    </row>
    <row r="891">
      <c r="A891" s="22"/>
      <c r="B891" s="10"/>
    </row>
    <row r="892">
      <c r="A892" s="22"/>
      <c r="B892" s="10"/>
    </row>
    <row r="893">
      <c r="A893" s="22"/>
      <c r="B893" s="10"/>
    </row>
    <row r="894">
      <c r="A894" s="22"/>
      <c r="B894" s="10"/>
    </row>
    <row r="895">
      <c r="A895" s="22"/>
      <c r="B895" s="10"/>
    </row>
    <row r="896">
      <c r="A896" s="22"/>
      <c r="B896" s="10"/>
    </row>
    <row r="897">
      <c r="A897" s="22"/>
      <c r="B897" s="10"/>
    </row>
    <row r="898">
      <c r="A898" s="22"/>
      <c r="B898" s="10"/>
    </row>
    <row r="899">
      <c r="A899" s="22"/>
      <c r="B899" s="10"/>
    </row>
    <row r="900">
      <c r="A900" s="22"/>
      <c r="B900" s="10"/>
    </row>
    <row r="901">
      <c r="A901" s="22"/>
      <c r="B901" s="10"/>
    </row>
    <row r="902">
      <c r="A902" s="22"/>
      <c r="B902" s="10"/>
    </row>
    <row r="903">
      <c r="A903" s="22"/>
      <c r="B903" s="10"/>
    </row>
    <row r="904">
      <c r="A904" s="22"/>
      <c r="B904" s="10"/>
    </row>
    <row r="905">
      <c r="A905" s="22"/>
      <c r="B905" s="10"/>
    </row>
    <row r="906">
      <c r="A906" s="22"/>
      <c r="B906" s="10"/>
    </row>
    <row r="907">
      <c r="A907" s="22"/>
      <c r="B907" s="10"/>
    </row>
    <row r="908">
      <c r="A908" s="22"/>
      <c r="B908" s="10"/>
    </row>
    <row r="909">
      <c r="A909" s="22"/>
      <c r="B909" s="10"/>
    </row>
    <row r="910">
      <c r="A910" s="22"/>
      <c r="B910" s="10"/>
    </row>
    <row r="911">
      <c r="A911" s="22"/>
      <c r="B911" s="10"/>
    </row>
    <row r="912">
      <c r="A912" s="22"/>
      <c r="B912" s="10"/>
    </row>
    <row r="913">
      <c r="A913" s="22"/>
      <c r="B913" s="10"/>
    </row>
    <row r="914">
      <c r="A914" s="22"/>
      <c r="B914" s="10"/>
    </row>
    <row r="915">
      <c r="A915" s="22"/>
      <c r="B915" s="10"/>
    </row>
    <row r="916">
      <c r="A916" s="22"/>
      <c r="B916" s="10"/>
    </row>
    <row r="917">
      <c r="A917" s="22"/>
      <c r="B917" s="10"/>
    </row>
    <row r="918">
      <c r="A918" s="22"/>
      <c r="B918" s="10"/>
    </row>
    <row r="919">
      <c r="A919" s="22"/>
      <c r="B919" s="10"/>
    </row>
    <row r="920">
      <c r="A920" s="22"/>
      <c r="B920" s="10"/>
    </row>
    <row r="921">
      <c r="A921" s="22"/>
      <c r="B921" s="10"/>
    </row>
    <row r="922">
      <c r="A922" s="22"/>
      <c r="B922" s="10"/>
    </row>
    <row r="923">
      <c r="A923" s="22"/>
      <c r="B923" s="10"/>
    </row>
    <row r="924">
      <c r="A924" s="22"/>
      <c r="B924" s="10"/>
    </row>
    <row r="925">
      <c r="A925" s="22"/>
      <c r="B925" s="10"/>
    </row>
    <row r="926">
      <c r="A926" s="22"/>
      <c r="B926" s="10"/>
    </row>
    <row r="927">
      <c r="A927" s="22"/>
      <c r="B927" s="10"/>
    </row>
    <row r="928">
      <c r="A928" s="22"/>
      <c r="B928" s="10"/>
    </row>
    <row r="929">
      <c r="A929" s="22"/>
      <c r="B929" s="10"/>
    </row>
    <row r="930">
      <c r="A930" s="22"/>
      <c r="B930" s="10"/>
    </row>
    <row r="931">
      <c r="A931" s="22"/>
      <c r="B931" s="10"/>
    </row>
    <row r="932">
      <c r="A932" s="22"/>
      <c r="B932" s="10"/>
    </row>
    <row r="933">
      <c r="A933" s="22"/>
      <c r="B933" s="10"/>
    </row>
    <row r="934">
      <c r="A934" s="22"/>
      <c r="B934" s="10"/>
    </row>
    <row r="935">
      <c r="A935" s="22"/>
      <c r="B935" s="10"/>
    </row>
    <row r="936">
      <c r="A936" s="22"/>
      <c r="B936" s="10"/>
    </row>
    <row r="937">
      <c r="A937" s="22"/>
      <c r="B937" s="10"/>
    </row>
    <row r="938">
      <c r="A938" s="22"/>
      <c r="B938" s="10"/>
    </row>
    <row r="939">
      <c r="A939" s="22"/>
      <c r="B939" s="10"/>
    </row>
    <row r="940">
      <c r="A940" s="22"/>
      <c r="B940" s="10"/>
    </row>
    <row r="941">
      <c r="A941" s="22"/>
      <c r="B941" s="10"/>
    </row>
    <row r="942">
      <c r="A942" s="22"/>
      <c r="B942" s="10"/>
    </row>
    <row r="943">
      <c r="A943" s="22"/>
      <c r="B943" s="10"/>
    </row>
    <row r="944">
      <c r="A944" s="22"/>
      <c r="B944" s="10"/>
    </row>
    <row r="945">
      <c r="A945" s="22"/>
      <c r="B945" s="10"/>
    </row>
    <row r="946">
      <c r="A946" s="22"/>
      <c r="B946" s="10"/>
    </row>
    <row r="947">
      <c r="A947" s="22"/>
      <c r="B947" s="10"/>
    </row>
    <row r="948">
      <c r="A948" s="22"/>
      <c r="B948" s="10"/>
    </row>
    <row r="949">
      <c r="A949" s="22"/>
      <c r="B949" s="10"/>
    </row>
    <row r="950">
      <c r="A950" s="22"/>
      <c r="B950" s="10"/>
    </row>
    <row r="951">
      <c r="A951" s="22"/>
      <c r="B951" s="10"/>
    </row>
    <row r="952">
      <c r="A952" s="22"/>
      <c r="B952" s="10"/>
    </row>
    <row r="953">
      <c r="A953" s="22"/>
      <c r="B953" s="10"/>
    </row>
    <row r="954">
      <c r="A954" s="22"/>
      <c r="B954" s="10"/>
    </row>
    <row r="955">
      <c r="A955" s="22"/>
      <c r="B955" s="10"/>
    </row>
    <row r="956">
      <c r="A956" s="22"/>
      <c r="B956" s="10"/>
    </row>
    <row r="957">
      <c r="A957" s="22"/>
      <c r="B957" s="10"/>
    </row>
    <row r="958">
      <c r="A958" s="22"/>
      <c r="B958" s="10"/>
    </row>
    <row r="959">
      <c r="A959" s="22"/>
      <c r="B959" s="10"/>
    </row>
    <row r="960">
      <c r="A960" s="22"/>
      <c r="B960" s="10"/>
    </row>
    <row r="961">
      <c r="A961" s="22"/>
      <c r="B961" s="10"/>
    </row>
    <row r="962">
      <c r="A962" s="22"/>
      <c r="B962" s="10"/>
    </row>
    <row r="963">
      <c r="A963" s="22"/>
      <c r="B963" s="10"/>
    </row>
    <row r="964">
      <c r="A964" s="22"/>
      <c r="B964" s="10"/>
    </row>
    <row r="965">
      <c r="A965" s="22"/>
      <c r="B965" s="10"/>
    </row>
    <row r="966">
      <c r="A966" s="22"/>
      <c r="B966" s="10"/>
    </row>
    <row r="967">
      <c r="A967" s="22"/>
      <c r="B967" s="10"/>
    </row>
    <row r="968">
      <c r="A968" s="22"/>
      <c r="B968" s="10"/>
    </row>
    <row r="969">
      <c r="A969" s="22"/>
      <c r="B969" s="10"/>
    </row>
    <row r="970">
      <c r="A970" s="22"/>
      <c r="B970" s="10"/>
    </row>
    <row r="971">
      <c r="A971" s="22"/>
      <c r="B971" s="10"/>
    </row>
    <row r="972">
      <c r="A972" s="22"/>
      <c r="B972" s="10"/>
    </row>
    <row r="973">
      <c r="A973" s="22"/>
      <c r="B973" s="10"/>
    </row>
    <row r="974">
      <c r="A974" s="22"/>
      <c r="B974" s="10"/>
    </row>
    <row r="975">
      <c r="A975" s="22"/>
      <c r="B975" s="10"/>
    </row>
    <row r="976">
      <c r="A976" s="22"/>
      <c r="B976" s="10"/>
    </row>
    <row r="977">
      <c r="A977" s="22"/>
      <c r="B977" s="10"/>
    </row>
    <row r="978">
      <c r="A978" s="22"/>
      <c r="B978" s="10"/>
    </row>
    <row r="979">
      <c r="A979" s="22"/>
      <c r="B979" s="10"/>
    </row>
    <row r="980">
      <c r="A980" s="22"/>
      <c r="B980" s="10"/>
    </row>
    <row r="981">
      <c r="A981" s="22"/>
      <c r="B981" s="10"/>
    </row>
    <row r="982">
      <c r="A982" s="22"/>
      <c r="B982" s="10"/>
    </row>
    <row r="983">
      <c r="A983" s="22"/>
      <c r="B983" s="10"/>
    </row>
    <row r="984">
      <c r="A984" s="22"/>
      <c r="B984" s="10"/>
    </row>
    <row r="985">
      <c r="A985" s="22"/>
      <c r="B985" s="10"/>
    </row>
    <row r="986">
      <c r="A986" s="22"/>
      <c r="B986" s="10"/>
    </row>
    <row r="987">
      <c r="A987" s="22"/>
      <c r="B987" s="10"/>
    </row>
    <row r="988">
      <c r="A988" s="22"/>
      <c r="B988" s="10"/>
    </row>
    <row r="989">
      <c r="A989" s="22"/>
      <c r="B989" s="10"/>
    </row>
    <row r="990">
      <c r="A990" s="22"/>
      <c r="B990" s="10"/>
    </row>
    <row r="991">
      <c r="A991" s="22"/>
      <c r="B991" s="10"/>
    </row>
    <row r="992">
      <c r="A992" s="22"/>
      <c r="B992" s="10"/>
    </row>
    <row r="993">
      <c r="A993" s="22"/>
      <c r="B993" s="10"/>
    </row>
    <row r="994">
      <c r="A994" s="22"/>
      <c r="B994" s="10"/>
    </row>
    <row r="995">
      <c r="A995" s="22"/>
      <c r="B995" s="10"/>
    </row>
    <row r="996">
      <c r="A996" s="22"/>
      <c r="B996" s="10"/>
    </row>
    <row r="997">
      <c r="A997" s="22"/>
      <c r="B997" s="10"/>
    </row>
    <row r="998">
      <c r="A998" s="22"/>
      <c r="B998" s="10"/>
    </row>
    <row r="999">
      <c r="A999" s="22"/>
      <c r="B999" s="10"/>
    </row>
    <row r="1000">
      <c r="A1000" s="22"/>
      <c r="B1000" s="10"/>
    </row>
  </sheetData>
  <dataValidations>
    <dataValidation type="list" allowBlank="1" sqref="G2:G3">
      <formula1>Settings!$B$2:$B$14</formula1>
    </dataValidation>
    <dataValidation type="custom" allowBlank="1" showDropDown="1" showInputMessage="1" showErrorMessage="1" prompt="Please enter a valid date or select from the calendar." sqref="A2:A1000">
      <formula1>OR(NOT(ISERROR(DATEVALUE(A2))), AND(ISNUMBER(A2), LEFT(CELL("format", A2))="D"))</formula1>
    </dataValidation>
    <dataValidation type="list" allowBlank="1" sqref="E4:E500">
      <formula1>Settings!$A$2:$A$5</formula1>
    </dataValidation>
    <dataValidation type="list" allowBlank="1" sqref="G4:G500">
      <formula1>Settings!$B$2:$B$3</formula1>
    </dataValidation>
    <dataValidation type="list" allowBlank="1" showInputMessage="1" showErrorMessage="1" prompt="Please select a Project ID from the list." sqref="B2:B1000">
      <formula1>'Project Master'!$A$2:$A$100</formula1>
    </dataValidation>
    <dataValidation type="list" allowBlank="1" sqref="E2:E3">
      <formula1>Settings!$A$2:$A$20</formula1>
    </dataValidation>
    <dataValidation type="list" allowBlank="1" sqref="D2:D500">
      <formula1>Settings!$D$2:$D$7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5.13"/>
    <col customWidth="1" min="4" max="4" width="21.75"/>
    <col customWidth="1" min="5" max="5" width="18.13"/>
    <col customWidth="1" min="11" max="11" width="13.5"/>
  </cols>
  <sheetData>
    <row r="1">
      <c r="A1" s="26" t="s">
        <v>36</v>
      </c>
      <c r="B1" s="26" t="s">
        <v>8</v>
      </c>
      <c r="C1" s="26" t="s">
        <v>53</v>
      </c>
      <c r="D1" s="26" t="s">
        <v>54</v>
      </c>
      <c r="E1" s="26" t="s">
        <v>44</v>
      </c>
      <c r="F1" s="26" t="s">
        <v>55</v>
      </c>
      <c r="G1" s="26" t="s">
        <v>56</v>
      </c>
      <c r="H1" s="26" t="s">
        <v>57</v>
      </c>
      <c r="I1" s="26" t="s">
        <v>38</v>
      </c>
      <c r="J1" s="26" t="s">
        <v>47</v>
      </c>
      <c r="K1" s="26" t="s">
        <v>58</v>
      </c>
    </row>
    <row r="2">
      <c r="A2" s="21">
        <v>45950.0</v>
      </c>
      <c r="B2" s="19" t="s">
        <v>31</v>
      </c>
      <c r="C2" s="19" t="s">
        <v>59</v>
      </c>
      <c r="D2" s="19" t="s">
        <v>60</v>
      </c>
      <c r="E2" s="19" t="s">
        <v>61</v>
      </c>
      <c r="F2" s="25">
        <v>146633.99</v>
      </c>
      <c r="G2" s="19">
        <v>5.0</v>
      </c>
      <c r="H2" s="27">
        <f t="array" ref="H2:H1001">IF(F2:F1001="", "", F2:F1001 - I2:I1001)</f>
        <v>6982.570952</v>
      </c>
      <c r="I2" s="28">
        <f t="array" ref="I2:I1001">IF(F2:F1001="", "", F2:F1001 / (1 + (G2:G1001/100)))</f>
        <v>139651.419</v>
      </c>
      <c r="J2" s="19" t="s">
        <v>52</v>
      </c>
      <c r="K2" s="19">
        <v>537.0</v>
      </c>
    </row>
    <row r="3">
      <c r="A3" s="21">
        <v>45951.0</v>
      </c>
      <c r="B3" s="19" t="s">
        <v>31</v>
      </c>
      <c r="C3" s="19" t="s">
        <v>62</v>
      </c>
      <c r="D3" s="19" t="s">
        <v>62</v>
      </c>
      <c r="E3" s="19" t="s">
        <v>63</v>
      </c>
      <c r="F3" s="25">
        <v>1500.0</v>
      </c>
      <c r="G3" s="19">
        <v>0.0</v>
      </c>
      <c r="H3" s="27">
        <v>0.0</v>
      </c>
      <c r="I3" s="27">
        <v>1500.0</v>
      </c>
      <c r="J3" s="19" t="s">
        <v>49</v>
      </c>
    </row>
    <row r="4">
      <c r="A4" s="21">
        <v>45951.0</v>
      </c>
      <c r="B4" s="19" t="s">
        <v>31</v>
      </c>
      <c r="C4" s="19" t="s">
        <v>64</v>
      </c>
      <c r="D4" s="19" t="s">
        <v>65</v>
      </c>
      <c r="E4" s="19" t="s">
        <v>66</v>
      </c>
      <c r="F4" s="25">
        <v>15500.0</v>
      </c>
      <c r="G4" s="19">
        <v>0.0</v>
      </c>
      <c r="H4" s="27">
        <v>0.0</v>
      </c>
      <c r="I4" s="27">
        <v>15500.0</v>
      </c>
      <c r="J4" s="19" t="s">
        <v>49</v>
      </c>
    </row>
    <row r="5">
      <c r="A5" s="21">
        <v>45951.0</v>
      </c>
      <c r="B5" s="19" t="s">
        <v>31</v>
      </c>
      <c r="C5" s="19" t="s">
        <v>67</v>
      </c>
      <c r="D5" s="19" t="s">
        <v>68</v>
      </c>
      <c r="E5" s="19" t="s">
        <v>69</v>
      </c>
      <c r="F5" s="25">
        <v>4434.0</v>
      </c>
      <c r="G5" s="19">
        <v>0.0</v>
      </c>
      <c r="H5" s="27">
        <v>0.0</v>
      </c>
      <c r="I5" s="27">
        <v>4434.0</v>
      </c>
      <c r="J5" s="19" t="s">
        <v>52</v>
      </c>
    </row>
    <row r="6">
      <c r="A6" s="21">
        <v>45951.0</v>
      </c>
      <c r="B6" s="19" t="s">
        <v>31</v>
      </c>
      <c r="C6" s="19" t="s">
        <v>70</v>
      </c>
      <c r="D6" s="19" t="s">
        <v>71</v>
      </c>
      <c r="E6" s="19" t="s">
        <v>63</v>
      </c>
      <c r="F6" s="25">
        <v>850.0</v>
      </c>
      <c r="G6" s="19">
        <v>0.0</v>
      </c>
      <c r="H6" s="27">
        <v>0.0</v>
      </c>
      <c r="I6" s="27">
        <v>850.0</v>
      </c>
      <c r="J6" s="19" t="s">
        <v>52</v>
      </c>
    </row>
    <row r="7">
      <c r="A7" s="21">
        <v>45951.0</v>
      </c>
      <c r="B7" s="19" t="s">
        <v>31</v>
      </c>
      <c r="C7" s="19" t="s">
        <v>70</v>
      </c>
      <c r="D7" s="19" t="s">
        <v>72</v>
      </c>
      <c r="E7" s="19" t="s">
        <v>63</v>
      </c>
      <c r="F7" s="25">
        <v>900.0</v>
      </c>
      <c r="G7" s="19">
        <v>0.0</v>
      </c>
      <c r="H7" s="27">
        <v>0.0</v>
      </c>
      <c r="I7" s="27">
        <v>900.0</v>
      </c>
      <c r="J7" s="19" t="s">
        <v>49</v>
      </c>
      <c r="K7" s="19" t="s">
        <v>73</v>
      </c>
    </row>
    <row r="8">
      <c r="A8" s="21">
        <v>45960.0</v>
      </c>
      <c r="B8" s="19" t="s">
        <v>29</v>
      </c>
      <c r="C8" s="19" t="s">
        <v>74</v>
      </c>
      <c r="D8" s="19" t="s">
        <v>75</v>
      </c>
      <c r="E8" s="19" t="s">
        <v>76</v>
      </c>
      <c r="F8" s="25">
        <v>500.0</v>
      </c>
      <c r="G8" s="19">
        <v>0.0</v>
      </c>
      <c r="H8" s="27">
        <v>0.0</v>
      </c>
      <c r="I8" s="27">
        <v>500.0</v>
      </c>
      <c r="J8" s="19" t="s">
        <v>52</v>
      </c>
    </row>
    <row r="9">
      <c r="A9" s="21">
        <v>45960.0</v>
      </c>
      <c r="B9" s="19" t="s">
        <v>29</v>
      </c>
      <c r="C9" s="19" t="s">
        <v>67</v>
      </c>
      <c r="D9" s="19" t="s">
        <v>77</v>
      </c>
      <c r="E9" s="19" t="s">
        <v>76</v>
      </c>
      <c r="F9" s="25">
        <v>269.3</v>
      </c>
      <c r="G9" s="19">
        <v>0.0</v>
      </c>
      <c r="H9" s="27">
        <v>0.0</v>
      </c>
      <c r="I9" s="27">
        <v>269.3</v>
      </c>
      <c r="J9" s="19" t="s">
        <v>52</v>
      </c>
    </row>
    <row r="10">
      <c r="A10" s="21">
        <v>45960.0</v>
      </c>
      <c r="B10" s="19" t="s">
        <v>29</v>
      </c>
      <c r="D10" s="19" t="s">
        <v>78</v>
      </c>
      <c r="E10" s="19" t="s">
        <v>79</v>
      </c>
      <c r="F10" s="25">
        <v>1500.0</v>
      </c>
      <c r="G10" s="19">
        <v>0.0</v>
      </c>
      <c r="H10" s="27">
        <v>0.0</v>
      </c>
      <c r="I10" s="27">
        <v>1500.0</v>
      </c>
      <c r="J10" s="19" t="s">
        <v>52</v>
      </c>
    </row>
    <row r="11">
      <c r="A11" s="22"/>
      <c r="B11" s="10"/>
      <c r="E11" s="10"/>
      <c r="F11" s="25">
        <v>0.0</v>
      </c>
      <c r="G11" s="29"/>
      <c r="H11" s="27">
        <v>0.0</v>
      </c>
      <c r="I11" s="27">
        <v>0.0</v>
      </c>
      <c r="J11" s="10"/>
    </row>
    <row r="12">
      <c r="A12" s="22"/>
      <c r="B12" s="10"/>
      <c r="E12" s="10"/>
      <c r="F12" s="25">
        <v>0.0</v>
      </c>
      <c r="G12" s="29"/>
      <c r="H12" s="27">
        <v>0.0</v>
      </c>
      <c r="I12" s="27">
        <v>0.0</v>
      </c>
      <c r="J12" s="10"/>
    </row>
    <row r="13">
      <c r="A13" s="22"/>
      <c r="B13" s="10"/>
      <c r="E13" s="10"/>
      <c r="F13" s="25">
        <v>0.0</v>
      </c>
      <c r="G13" s="29"/>
      <c r="H13" s="27">
        <v>0.0</v>
      </c>
      <c r="I13" s="27">
        <v>0.0</v>
      </c>
      <c r="J13" s="10"/>
    </row>
    <row r="14">
      <c r="A14" s="22"/>
      <c r="B14" s="10"/>
      <c r="E14" s="10"/>
      <c r="F14" s="25">
        <v>0.0</v>
      </c>
      <c r="G14" s="29"/>
      <c r="H14" s="27">
        <v>0.0</v>
      </c>
      <c r="I14" s="27">
        <v>0.0</v>
      </c>
      <c r="J14" s="10"/>
    </row>
    <row r="15">
      <c r="A15" s="22"/>
      <c r="B15" s="10"/>
      <c r="E15" s="10"/>
      <c r="F15" s="25">
        <v>0.0</v>
      </c>
      <c r="G15" s="29"/>
      <c r="H15" s="27">
        <v>0.0</v>
      </c>
      <c r="I15" s="27">
        <v>0.0</v>
      </c>
      <c r="J15" s="10"/>
    </row>
    <row r="16">
      <c r="A16" s="22"/>
      <c r="B16" s="10"/>
      <c r="E16" s="10"/>
      <c r="F16" s="25">
        <v>0.0</v>
      </c>
      <c r="G16" s="29"/>
      <c r="H16" s="27">
        <v>0.0</v>
      </c>
      <c r="I16" s="27">
        <v>0.0</v>
      </c>
      <c r="J16" s="10"/>
    </row>
    <row r="17">
      <c r="A17" s="22"/>
      <c r="B17" s="10"/>
      <c r="E17" s="10"/>
      <c r="F17" s="25">
        <v>0.0</v>
      </c>
      <c r="G17" s="29"/>
      <c r="H17" s="27">
        <v>0.0</v>
      </c>
      <c r="I17" s="27">
        <v>0.0</v>
      </c>
      <c r="J17" s="10"/>
    </row>
    <row r="18">
      <c r="A18" s="22"/>
      <c r="B18" s="10"/>
      <c r="E18" s="10"/>
      <c r="F18" s="25">
        <v>0.0</v>
      </c>
      <c r="G18" s="29"/>
      <c r="H18" s="27">
        <v>0.0</v>
      </c>
      <c r="I18" s="27">
        <v>0.0</v>
      </c>
      <c r="J18" s="10"/>
    </row>
    <row r="19">
      <c r="A19" s="22"/>
      <c r="B19" s="10"/>
      <c r="E19" s="10"/>
      <c r="F19" s="25">
        <v>0.0</v>
      </c>
      <c r="G19" s="29"/>
      <c r="H19" s="27">
        <v>0.0</v>
      </c>
      <c r="I19" s="27">
        <v>0.0</v>
      </c>
      <c r="J19" s="10"/>
    </row>
    <row r="20">
      <c r="A20" s="22"/>
      <c r="B20" s="10"/>
      <c r="E20" s="10"/>
      <c r="F20" s="25">
        <v>0.0</v>
      </c>
      <c r="G20" s="29"/>
      <c r="H20" s="27">
        <v>0.0</v>
      </c>
      <c r="I20" s="27">
        <v>0.0</v>
      </c>
      <c r="J20" s="10"/>
    </row>
    <row r="21">
      <c r="A21" s="22"/>
      <c r="B21" s="10"/>
      <c r="E21" s="10"/>
      <c r="F21" s="25">
        <v>0.0</v>
      </c>
      <c r="G21" s="29"/>
      <c r="H21" s="27">
        <v>0.0</v>
      </c>
      <c r="I21" s="27">
        <v>0.0</v>
      </c>
      <c r="J21" s="10"/>
    </row>
    <row r="22">
      <c r="A22" s="22"/>
      <c r="B22" s="10"/>
      <c r="E22" s="10"/>
      <c r="F22" s="25">
        <v>0.0</v>
      </c>
      <c r="G22" s="29"/>
      <c r="H22" s="27">
        <v>0.0</v>
      </c>
      <c r="I22" s="27">
        <v>0.0</v>
      </c>
      <c r="J22" s="10"/>
    </row>
    <row r="23">
      <c r="A23" s="22"/>
      <c r="B23" s="10"/>
      <c r="E23" s="10"/>
      <c r="F23" s="25">
        <v>0.0</v>
      </c>
      <c r="G23" s="29"/>
      <c r="H23" s="27">
        <v>0.0</v>
      </c>
      <c r="I23" s="27">
        <v>0.0</v>
      </c>
      <c r="J23" s="10"/>
    </row>
    <row r="24">
      <c r="A24" s="22"/>
      <c r="B24" s="10"/>
      <c r="E24" s="10"/>
      <c r="F24" s="25">
        <v>0.0</v>
      </c>
      <c r="G24" s="29"/>
      <c r="H24" s="27">
        <v>0.0</v>
      </c>
      <c r="I24" s="27">
        <v>0.0</v>
      </c>
      <c r="J24" s="10"/>
    </row>
    <row r="25">
      <c r="A25" s="22"/>
      <c r="B25" s="10"/>
      <c r="E25" s="10"/>
      <c r="F25" s="25">
        <v>0.0</v>
      </c>
      <c r="G25" s="29"/>
      <c r="H25" s="27">
        <v>0.0</v>
      </c>
      <c r="I25" s="27">
        <v>0.0</v>
      </c>
      <c r="J25" s="10"/>
    </row>
    <row r="26">
      <c r="A26" s="22"/>
      <c r="B26" s="10"/>
      <c r="E26" s="10"/>
      <c r="F26" s="25">
        <v>0.0</v>
      </c>
      <c r="G26" s="29"/>
      <c r="H26" s="27">
        <v>0.0</v>
      </c>
      <c r="I26" s="27">
        <v>0.0</v>
      </c>
      <c r="J26" s="10"/>
    </row>
    <row r="27">
      <c r="A27" s="22"/>
      <c r="B27" s="10"/>
      <c r="E27" s="10"/>
      <c r="F27" s="25">
        <v>0.0</v>
      </c>
      <c r="G27" s="29"/>
      <c r="H27" s="27">
        <v>0.0</v>
      </c>
      <c r="I27" s="27">
        <v>0.0</v>
      </c>
      <c r="J27" s="10"/>
    </row>
    <row r="28">
      <c r="A28" s="22"/>
      <c r="B28" s="10"/>
      <c r="E28" s="10"/>
      <c r="F28" s="25">
        <v>0.0</v>
      </c>
      <c r="G28" s="29"/>
      <c r="H28" s="27">
        <v>0.0</v>
      </c>
      <c r="I28" s="27">
        <v>0.0</v>
      </c>
      <c r="J28" s="10"/>
    </row>
    <row r="29">
      <c r="A29" s="22"/>
      <c r="B29" s="10"/>
      <c r="E29" s="10"/>
      <c r="F29" s="25">
        <v>0.0</v>
      </c>
      <c r="G29" s="29"/>
      <c r="H29" s="27">
        <v>0.0</v>
      </c>
      <c r="I29" s="27">
        <v>0.0</v>
      </c>
      <c r="J29" s="10"/>
    </row>
    <row r="30">
      <c r="A30" s="22"/>
      <c r="B30" s="10"/>
      <c r="E30" s="10"/>
      <c r="F30" s="25">
        <v>0.0</v>
      </c>
      <c r="G30" s="29"/>
      <c r="H30" s="27">
        <v>0.0</v>
      </c>
      <c r="I30" s="27">
        <v>0.0</v>
      </c>
      <c r="J30" s="10"/>
    </row>
    <row r="31">
      <c r="A31" s="22"/>
      <c r="B31" s="10"/>
      <c r="E31" s="10"/>
      <c r="F31" s="25">
        <v>0.0</v>
      </c>
      <c r="G31" s="29"/>
      <c r="H31" s="27">
        <v>0.0</v>
      </c>
      <c r="I31" s="27">
        <v>0.0</v>
      </c>
      <c r="J31" s="10"/>
    </row>
    <row r="32">
      <c r="A32" s="22"/>
      <c r="B32" s="10"/>
      <c r="E32" s="10"/>
      <c r="F32" s="25">
        <v>0.0</v>
      </c>
      <c r="G32" s="29"/>
      <c r="H32" s="27">
        <v>0.0</v>
      </c>
      <c r="I32" s="27">
        <v>0.0</v>
      </c>
      <c r="J32" s="10"/>
    </row>
    <row r="33">
      <c r="A33" s="22"/>
      <c r="B33" s="10"/>
      <c r="E33" s="10"/>
      <c r="F33" s="25">
        <v>0.0</v>
      </c>
      <c r="G33" s="29"/>
      <c r="H33" s="27">
        <v>0.0</v>
      </c>
      <c r="I33" s="27">
        <v>0.0</v>
      </c>
      <c r="J33" s="10"/>
    </row>
    <row r="34">
      <c r="A34" s="22"/>
      <c r="B34" s="10"/>
      <c r="E34" s="10"/>
      <c r="F34" s="25">
        <v>0.0</v>
      </c>
      <c r="G34" s="29"/>
      <c r="H34" s="27">
        <v>0.0</v>
      </c>
      <c r="I34" s="27">
        <v>0.0</v>
      </c>
      <c r="J34" s="10"/>
    </row>
    <row r="35">
      <c r="A35" s="22"/>
      <c r="B35" s="10"/>
      <c r="E35" s="10"/>
      <c r="F35" s="25">
        <v>0.0</v>
      </c>
      <c r="G35" s="29"/>
      <c r="H35" s="27">
        <v>0.0</v>
      </c>
      <c r="I35" s="27">
        <v>0.0</v>
      </c>
      <c r="J35" s="10"/>
    </row>
    <row r="36">
      <c r="A36" s="22"/>
      <c r="B36" s="10"/>
      <c r="E36" s="10"/>
      <c r="F36" s="25">
        <v>0.0</v>
      </c>
      <c r="G36" s="29"/>
      <c r="H36" s="27">
        <v>0.0</v>
      </c>
      <c r="I36" s="27">
        <v>0.0</v>
      </c>
      <c r="J36" s="10"/>
    </row>
    <row r="37">
      <c r="A37" s="22"/>
      <c r="B37" s="10"/>
      <c r="E37" s="10"/>
      <c r="F37" s="25">
        <v>0.0</v>
      </c>
      <c r="G37" s="29"/>
      <c r="H37" s="27">
        <v>0.0</v>
      </c>
      <c r="I37" s="27">
        <v>0.0</v>
      </c>
      <c r="J37" s="10"/>
    </row>
    <row r="38">
      <c r="A38" s="22"/>
      <c r="B38" s="10"/>
      <c r="E38" s="10"/>
      <c r="F38" s="25">
        <v>0.0</v>
      </c>
      <c r="G38" s="29"/>
      <c r="H38" s="27">
        <v>0.0</v>
      </c>
      <c r="I38" s="27">
        <v>0.0</v>
      </c>
      <c r="J38" s="10"/>
    </row>
    <row r="39">
      <c r="A39" s="22"/>
      <c r="B39" s="10"/>
      <c r="E39" s="10"/>
      <c r="F39" s="25">
        <v>0.0</v>
      </c>
      <c r="G39" s="29"/>
      <c r="H39" s="27">
        <v>0.0</v>
      </c>
      <c r="I39" s="27">
        <v>0.0</v>
      </c>
      <c r="J39" s="10"/>
    </row>
    <row r="40">
      <c r="A40" s="22"/>
      <c r="B40" s="10"/>
      <c r="E40" s="10"/>
      <c r="F40" s="25">
        <v>0.0</v>
      </c>
      <c r="G40" s="29"/>
      <c r="H40" s="27">
        <v>0.0</v>
      </c>
      <c r="I40" s="27">
        <v>0.0</v>
      </c>
      <c r="J40" s="10"/>
    </row>
    <row r="41">
      <c r="A41" s="22"/>
      <c r="B41" s="10"/>
      <c r="E41" s="10"/>
      <c r="F41" s="25">
        <v>0.0</v>
      </c>
      <c r="G41" s="29"/>
      <c r="H41" s="27">
        <v>0.0</v>
      </c>
      <c r="I41" s="27">
        <v>0.0</v>
      </c>
      <c r="J41" s="10"/>
    </row>
    <row r="42">
      <c r="A42" s="22"/>
      <c r="B42" s="10"/>
      <c r="E42" s="10"/>
      <c r="F42" s="25">
        <v>0.0</v>
      </c>
      <c r="G42" s="29"/>
      <c r="H42" s="27">
        <v>0.0</v>
      </c>
      <c r="I42" s="27">
        <v>0.0</v>
      </c>
      <c r="J42" s="10"/>
    </row>
    <row r="43">
      <c r="A43" s="22"/>
      <c r="B43" s="10"/>
      <c r="E43" s="10"/>
      <c r="F43" s="25">
        <v>0.0</v>
      </c>
      <c r="G43" s="29"/>
      <c r="H43" s="27">
        <v>0.0</v>
      </c>
      <c r="I43" s="27">
        <v>0.0</v>
      </c>
      <c r="J43" s="10"/>
    </row>
    <row r="44">
      <c r="A44" s="22"/>
      <c r="B44" s="10"/>
      <c r="E44" s="10"/>
      <c r="F44" s="25">
        <v>0.0</v>
      </c>
      <c r="G44" s="29"/>
      <c r="H44" s="27">
        <v>0.0</v>
      </c>
      <c r="I44" s="27">
        <v>0.0</v>
      </c>
      <c r="J44" s="10"/>
    </row>
    <row r="45">
      <c r="A45" s="22"/>
      <c r="B45" s="10"/>
      <c r="E45" s="10"/>
      <c r="F45" s="25">
        <v>0.0</v>
      </c>
      <c r="G45" s="29"/>
      <c r="H45" s="27">
        <v>0.0</v>
      </c>
      <c r="I45" s="27">
        <v>0.0</v>
      </c>
      <c r="J45" s="10"/>
    </row>
    <row r="46">
      <c r="A46" s="22"/>
      <c r="B46" s="10"/>
      <c r="E46" s="10"/>
      <c r="F46" s="25">
        <v>0.0</v>
      </c>
      <c r="G46" s="29"/>
      <c r="H46" s="27">
        <v>0.0</v>
      </c>
      <c r="I46" s="27">
        <v>0.0</v>
      </c>
      <c r="J46" s="10"/>
    </row>
    <row r="47">
      <c r="A47" s="22"/>
      <c r="B47" s="10"/>
      <c r="E47" s="10"/>
      <c r="F47" s="25">
        <v>0.0</v>
      </c>
      <c r="G47" s="29"/>
      <c r="H47" s="27">
        <v>0.0</v>
      </c>
      <c r="I47" s="27">
        <v>0.0</v>
      </c>
      <c r="J47" s="10"/>
    </row>
    <row r="48">
      <c r="A48" s="22"/>
      <c r="B48" s="10"/>
      <c r="E48" s="10"/>
      <c r="F48" s="25">
        <v>0.0</v>
      </c>
      <c r="G48" s="29"/>
      <c r="H48" s="27">
        <v>0.0</v>
      </c>
      <c r="I48" s="27">
        <v>0.0</v>
      </c>
      <c r="J48" s="10"/>
    </row>
    <row r="49">
      <c r="A49" s="22"/>
      <c r="B49" s="10"/>
      <c r="E49" s="10"/>
      <c r="F49" s="25">
        <v>0.0</v>
      </c>
      <c r="G49" s="29"/>
      <c r="H49" s="27">
        <v>0.0</v>
      </c>
      <c r="I49" s="27">
        <v>0.0</v>
      </c>
      <c r="J49" s="10"/>
    </row>
    <row r="50">
      <c r="A50" s="22"/>
      <c r="B50" s="10"/>
      <c r="E50" s="10"/>
      <c r="F50" s="25">
        <v>0.0</v>
      </c>
      <c r="G50" s="29"/>
      <c r="H50" s="27">
        <v>0.0</v>
      </c>
      <c r="I50" s="27">
        <v>0.0</v>
      </c>
      <c r="J50" s="10"/>
    </row>
    <row r="51">
      <c r="A51" s="22"/>
      <c r="B51" s="10"/>
      <c r="E51" s="10"/>
      <c r="F51" s="25">
        <v>0.0</v>
      </c>
      <c r="G51" s="29"/>
      <c r="H51" s="27">
        <v>0.0</v>
      </c>
      <c r="I51" s="27">
        <v>0.0</v>
      </c>
      <c r="J51" s="10"/>
    </row>
    <row r="52">
      <c r="A52" s="22"/>
      <c r="B52" s="10"/>
      <c r="E52" s="10"/>
      <c r="F52" s="25">
        <v>0.0</v>
      </c>
      <c r="G52" s="29"/>
      <c r="H52" s="27">
        <v>0.0</v>
      </c>
      <c r="I52" s="27">
        <v>0.0</v>
      </c>
      <c r="J52" s="10"/>
    </row>
    <row r="53">
      <c r="A53" s="22"/>
      <c r="B53" s="10"/>
      <c r="E53" s="10"/>
      <c r="F53" s="25">
        <v>0.0</v>
      </c>
      <c r="G53" s="29"/>
      <c r="H53" s="27">
        <v>0.0</v>
      </c>
      <c r="I53" s="27">
        <v>0.0</v>
      </c>
      <c r="J53" s="10"/>
    </row>
    <row r="54">
      <c r="A54" s="22"/>
      <c r="B54" s="10"/>
      <c r="E54" s="10"/>
      <c r="F54" s="25">
        <v>0.0</v>
      </c>
      <c r="G54" s="29"/>
      <c r="H54" s="27">
        <v>0.0</v>
      </c>
      <c r="I54" s="27">
        <v>0.0</v>
      </c>
      <c r="J54" s="10"/>
    </row>
    <row r="55">
      <c r="A55" s="22"/>
      <c r="B55" s="10"/>
      <c r="E55" s="10"/>
      <c r="F55" s="25">
        <v>0.0</v>
      </c>
      <c r="G55" s="29"/>
      <c r="H55" s="27">
        <v>0.0</v>
      </c>
      <c r="I55" s="27">
        <v>0.0</v>
      </c>
      <c r="J55" s="10"/>
    </row>
    <row r="56">
      <c r="A56" s="22"/>
      <c r="B56" s="10"/>
      <c r="E56" s="10"/>
      <c r="F56" s="25">
        <v>0.0</v>
      </c>
      <c r="G56" s="29"/>
      <c r="H56" s="27">
        <v>0.0</v>
      </c>
      <c r="I56" s="27">
        <v>0.0</v>
      </c>
      <c r="J56" s="10"/>
    </row>
    <row r="57">
      <c r="A57" s="22"/>
      <c r="B57" s="10"/>
      <c r="E57" s="10"/>
      <c r="F57" s="25">
        <v>0.0</v>
      </c>
      <c r="G57" s="29"/>
      <c r="H57" s="27">
        <v>0.0</v>
      </c>
      <c r="I57" s="27">
        <v>0.0</v>
      </c>
      <c r="J57" s="10"/>
    </row>
    <row r="58">
      <c r="A58" s="22"/>
      <c r="B58" s="10"/>
      <c r="E58" s="10"/>
      <c r="F58" s="25">
        <v>0.0</v>
      </c>
      <c r="G58" s="29"/>
      <c r="H58" s="27">
        <v>0.0</v>
      </c>
      <c r="I58" s="27">
        <v>0.0</v>
      </c>
      <c r="J58" s="10"/>
    </row>
    <row r="59">
      <c r="A59" s="22"/>
      <c r="B59" s="10"/>
      <c r="E59" s="10"/>
      <c r="F59" s="25">
        <v>0.0</v>
      </c>
      <c r="G59" s="29"/>
      <c r="H59" s="27">
        <v>0.0</v>
      </c>
      <c r="I59" s="27">
        <v>0.0</v>
      </c>
      <c r="J59" s="10"/>
    </row>
    <row r="60">
      <c r="A60" s="22"/>
      <c r="B60" s="10"/>
      <c r="E60" s="10"/>
      <c r="F60" s="25">
        <v>0.0</v>
      </c>
      <c r="G60" s="29"/>
      <c r="H60" s="27">
        <v>0.0</v>
      </c>
      <c r="I60" s="27">
        <v>0.0</v>
      </c>
      <c r="J60" s="10"/>
    </row>
    <row r="61">
      <c r="A61" s="22"/>
      <c r="B61" s="10"/>
      <c r="E61" s="10"/>
      <c r="F61" s="25">
        <v>0.0</v>
      </c>
      <c r="G61" s="29"/>
      <c r="H61" s="27">
        <v>0.0</v>
      </c>
      <c r="I61" s="27">
        <v>0.0</v>
      </c>
      <c r="J61" s="10"/>
    </row>
    <row r="62">
      <c r="A62" s="22"/>
      <c r="B62" s="10"/>
      <c r="E62" s="10"/>
      <c r="F62" s="25">
        <v>0.0</v>
      </c>
      <c r="G62" s="29"/>
      <c r="H62" s="27">
        <v>0.0</v>
      </c>
      <c r="I62" s="27">
        <v>0.0</v>
      </c>
      <c r="J62" s="10"/>
    </row>
    <row r="63">
      <c r="A63" s="22"/>
      <c r="B63" s="10"/>
      <c r="E63" s="10"/>
      <c r="F63" s="25">
        <v>0.0</v>
      </c>
      <c r="G63" s="29"/>
      <c r="H63" s="27">
        <v>0.0</v>
      </c>
      <c r="I63" s="27">
        <v>0.0</v>
      </c>
      <c r="J63" s="10"/>
    </row>
    <row r="64">
      <c r="A64" s="22"/>
      <c r="B64" s="10"/>
      <c r="E64" s="10"/>
      <c r="F64" s="25">
        <v>0.0</v>
      </c>
      <c r="G64" s="29"/>
      <c r="H64" s="27">
        <v>0.0</v>
      </c>
      <c r="I64" s="27">
        <v>0.0</v>
      </c>
      <c r="J64" s="10"/>
    </row>
    <row r="65">
      <c r="A65" s="22"/>
      <c r="B65" s="10"/>
      <c r="E65" s="10"/>
      <c r="F65" s="25">
        <v>0.0</v>
      </c>
      <c r="G65" s="29"/>
      <c r="H65" s="27">
        <v>0.0</v>
      </c>
      <c r="I65" s="27">
        <v>0.0</v>
      </c>
      <c r="J65" s="10"/>
    </row>
    <row r="66">
      <c r="A66" s="22"/>
      <c r="B66" s="10"/>
      <c r="E66" s="10"/>
      <c r="F66" s="25">
        <v>0.0</v>
      </c>
      <c r="G66" s="29"/>
      <c r="H66" s="27">
        <v>0.0</v>
      </c>
      <c r="I66" s="27">
        <v>0.0</v>
      </c>
      <c r="J66" s="10"/>
    </row>
    <row r="67">
      <c r="A67" s="22"/>
      <c r="B67" s="10"/>
      <c r="E67" s="10"/>
      <c r="F67" s="25">
        <v>0.0</v>
      </c>
      <c r="G67" s="29"/>
      <c r="H67" s="27">
        <v>0.0</v>
      </c>
      <c r="I67" s="27">
        <v>0.0</v>
      </c>
      <c r="J67" s="10"/>
    </row>
    <row r="68">
      <c r="A68" s="22"/>
      <c r="B68" s="10"/>
      <c r="E68" s="10"/>
      <c r="F68" s="25">
        <v>0.0</v>
      </c>
      <c r="G68" s="29"/>
      <c r="H68" s="27">
        <v>0.0</v>
      </c>
      <c r="I68" s="27">
        <v>0.0</v>
      </c>
      <c r="J68" s="10"/>
    </row>
    <row r="69">
      <c r="A69" s="22"/>
      <c r="B69" s="10"/>
      <c r="E69" s="10"/>
      <c r="F69" s="25">
        <v>0.0</v>
      </c>
      <c r="G69" s="29"/>
      <c r="H69" s="27">
        <v>0.0</v>
      </c>
      <c r="I69" s="27">
        <v>0.0</v>
      </c>
      <c r="J69" s="10"/>
    </row>
    <row r="70">
      <c r="A70" s="22"/>
      <c r="B70" s="10"/>
      <c r="E70" s="10"/>
      <c r="F70" s="25">
        <v>0.0</v>
      </c>
      <c r="G70" s="29"/>
      <c r="H70" s="27">
        <v>0.0</v>
      </c>
      <c r="I70" s="27">
        <v>0.0</v>
      </c>
      <c r="J70" s="10"/>
    </row>
    <row r="71">
      <c r="A71" s="22"/>
      <c r="B71" s="10"/>
      <c r="E71" s="10"/>
      <c r="F71" s="25">
        <v>0.0</v>
      </c>
      <c r="G71" s="29"/>
      <c r="H71" s="27">
        <v>0.0</v>
      </c>
      <c r="I71" s="27">
        <v>0.0</v>
      </c>
      <c r="J71" s="10"/>
    </row>
    <row r="72">
      <c r="A72" s="22"/>
      <c r="B72" s="10"/>
      <c r="E72" s="10"/>
      <c r="F72" s="25">
        <v>0.0</v>
      </c>
      <c r="G72" s="29"/>
      <c r="H72" s="27">
        <v>0.0</v>
      </c>
      <c r="I72" s="27">
        <v>0.0</v>
      </c>
      <c r="J72" s="10"/>
    </row>
    <row r="73">
      <c r="A73" s="22"/>
      <c r="B73" s="10"/>
      <c r="E73" s="10"/>
      <c r="F73" s="25">
        <v>0.0</v>
      </c>
      <c r="G73" s="29"/>
      <c r="H73" s="27">
        <v>0.0</v>
      </c>
      <c r="I73" s="27">
        <v>0.0</v>
      </c>
      <c r="J73" s="10"/>
    </row>
    <row r="74">
      <c r="A74" s="22"/>
      <c r="B74" s="10"/>
      <c r="E74" s="10"/>
      <c r="F74" s="25">
        <v>0.0</v>
      </c>
      <c r="G74" s="29"/>
      <c r="H74" s="27">
        <v>0.0</v>
      </c>
      <c r="I74" s="27">
        <v>0.0</v>
      </c>
      <c r="J74" s="10"/>
    </row>
    <row r="75">
      <c r="A75" s="22"/>
      <c r="B75" s="10"/>
      <c r="E75" s="10"/>
      <c r="F75" s="25">
        <v>0.0</v>
      </c>
      <c r="G75" s="29"/>
      <c r="H75" s="27">
        <v>0.0</v>
      </c>
      <c r="I75" s="27">
        <v>0.0</v>
      </c>
      <c r="J75" s="10"/>
    </row>
    <row r="76">
      <c r="A76" s="22"/>
      <c r="B76" s="10"/>
      <c r="E76" s="10"/>
      <c r="F76" s="25">
        <v>0.0</v>
      </c>
      <c r="G76" s="29"/>
      <c r="H76" s="27">
        <v>0.0</v>
      </c>
      <c r="I76" s="27">
        <v>0.0</v>
      </c>
      <c r="J76" s="10"/>
    </row>
    <row r="77">
      <c r="A77" s="22"/>
      <c r="B77" s="10"/>
      <c r="E77" s="10"/>
      <c r="F77" s="25">
        <v>0.0</v>
      </c>
      <c r="G77" s="29"/>
      <c r="H77" s="27">
        <v>0.0</v>
      </c>
      <c r="I77" s="27">
        <v>0.0</v>
      </c>
      <c r="J77" s="10"/>
    </row>
    <row r="78">
      <c r="A78" s="22"/>
      <c r="B78" s="10"/>
      <c r="E78" s="10"/>
      <c r="F78" s="25">
        <v>0.0</v>
      </c>
      <c r="G78" s="29"/>
      <c r="H78" s="27">
        <v>0.0</v>
      </c>
      <c r="I78" s="27">
        <v>0.0</v>
      </c>
      <c r="J78" s="10"/>
    </row>
    <row r="79">
      <c r="A79" s="22"/>
      <c r="B79" s="10"/>
      <c r="E79" s="10"/>
      <c r="F79" s="25">
        <v>0.0</v>
      </c>
      <c r="G79" s="29"/>
      <c r="H79" s="27">
        <v>0.0</v>
      </c>
      <c r="I79" s="27">
        <v>0.0</v>
      </c>
      <c r="J79" s="10"/>
    </row>
    <row r="80">
      <c r="A80" s="22"/>
      <c r="B80" s="10"/>
      <c r="E80" s="10"/>
      <c r="F80" s="25">
        <v>0.0</v>
      </c>
      <c r="G80" s="29"/>
      <c r="H80" s="27">
        <v>0.0</v>
      </c>
      <c r="I80" s="27">
        <v>0.0</v>
      </c>
      <c r="J80" s="10"/>
    </row>
    <row r="81">
      <c r="A81" s="22"/>
      <c r="B81" s="10"/>
      <c r="E81" s="10"/>
      <c r="F81" s="25">
        <v>0.0</v>
      </c>
      <c r="G81" s="29"/>
      <c r="H81" s="27">
        <v>0.0</v>
      </c>
      <c r="I81" s="27">
        <v>0.0</v>
      </c>
      <c r="J81" s="10"/>
    </row>
    <row r="82">
      <c r="A82" s="22"/>
      <c r="B82" s="10"/>
      <c r="E82" s="10"/>
      <c r="F82" s="25">
        <v>0.0</v>
      </c>
      <c r="G82" s="29"/>
      <c r="H82" s="27">
        <v>0.0</v>
      </c>
      <c r="I82" s="27">
        <v>0.0</v>
      </c>
      <c r="J82" s="10"/>
    </row>
    <row r="83">
      <c r="A83" s="22"/>
      <c r="B83" s="10"/>
      <c r="E83" s="10"/>
      <c r="F83" s="25">
        <v>0.0</v>
      </c>
      <c r="G83" s="29"/>
      <c r="H83" s="27">
        <v>0.0</v>
      </c>
      <c r="I83" s="27">
        <v>0.0</v>
      </c>
      <c r="J83" s="10"/>
    </row>
    <row r="84">
      <c r="A84" s="22"/>
      <c r="B84" s="10"/>
      <c r="E84" s="10"/>
      <c r="F84" s="25">
        <v>0.0</v>
      </c>
      <c r="G84" s="29"/>
      <c r="H84" s="27">
        <v>0.0</v>
      </c>
      <c r="I84" s="27">
        <v>0.0</v>
      </c>
      <c r="J84" s="10"/>
    </row>
    <row r="85">
      <c r="A85" s="22"/>
      <c r="B85" s="10"/>
      <c r="E85" s="10"/>
      <c r="F85" s="25">
        <v>0.0</v>
      </c>
      <c r="G85" s="29"/>
      <c r="H85" s="27">
        <v>0.0</v>
      </c>
      <c r="I85" s="27">
        <v>0.0</v>
      </c>
      <c r="J85" s="10"/>
    </row>
    <row r="86">
      <c r="A86" s="22"/>
      <c r="B86" s="10"/>
      <c r="E86" s="10"/>
      <c r="F86" s="25">
        <v>0.0</v>
      </c>
      <c r="G86" s="29"/>
      <c r="H86" s="27">
        <v>0.0</v>
      </c>
      <c r="I86" s="27">
        <v>0.0</v>
      </c>
      <c r="J86" s="10"/>
    </row>
    <row r="87">
      <c r="A87" s="22"/>
      <c r="B87" s="10"/>
      <c r="E87" s="10"/>
      <c r="F87" s="25">
        <v>0.0</v>
      </c>
      <c r="G87" s="29"/>
      <c r="H87" s="27">
        <v>0.0</v>
      </c>
      <c r="I87" s="27">
        <v>0.0</v>
      </c>
      <c r="J87" s="10"/>
    </row>
    <row r="88">
      <c r="A88" s="22"/>
      <c r="B88" s="10"/>
      <c r="E88" s="10"/>
      <c r="F88" s="25">
        <v>0.0</v>
      </c>
      <c r="G88" s="29"/>
      <c r="H88" s="27">
        <v>0.0</v>
      </c>
      <c r="I88" s="27">
        <v>0.0</v>
      </c>
      <c r="J88" s="10"/>
    </row>
    <row r="89">
      <c r="A89" s="22"/>
      <c r="B89" s="10"/>
      <c r="E89" s="10"/>
      <c r="F89" s="25">
        <v>0.0</v>
      </c>
      <c r="G89" s="29"/>
      <c r="H89" s="27">
        <v>0.0</v>
      </c>
      <c r="I89" s="27">
        <v>0.0</v>
      </c>
      <c r="J89" s="10"/>
    </row>
    <row r="90">
      <c r="A90" s="22"/>
      <c r="B90" s="10"/>
      <c r="E90" s="10"/>
      <c r="F90" s="25">
        <v>0.0</v>
      </c>
      <c r="G90" s="29"/>
      <c r="H90" s="27">
        <v>0.0</v>
      </c>
      <c r="I90" s="27">
        <v>0.0</v>
      </c>
      <c r="J90" s="10"/>
    </row>
    <row r="91">
      <c r="A91" s="22"/>
      <c r="B91" s="10"/>
      <c r="E91" s="10"/>
      <c r="F91" s="25">
        <v>0.0</v>
      </c>
      <c r="G91" s="29"/>
      <c r="H91" s="27">
        <v>0.0</v>
      </c>
      <c r="I91" s="27">
        <v>0.0</v>
      </c>
      <c r="J91" s="10"/>
    </row>
    <row r="92">
      <c r="A92" s="22"/>
      <c r="B92" s="10"/>
      <c r="E92" s="10"/>
      <c r="F92" s="25">
        <v>0.0</v>
      </c>
      <c r="G92" s="29"/>
      <c r="H92" s="27">
        <v>0.0</v>
      </c>
      <c r="I92" s="27">
        <v>0.0</v>
      </c>
      <c r="J92" s="10"/>
    </row>
    <row r="93">
      <c r="A93" s="22"/>
      <c r="B93" s="10"/>
      <c r="E93" s="10"/>
      <c r="F93" s="25">
        <v>0.0</v>
      </c>
      <c r="G93" s="29"/>
      <c r="H93" s="27">
        <v>0.0</v>
      </c>
      <c r="I93" s="27">
        <v>0.0</v>
      </c>
      <c r="J93" s="10"/>
    </row>
    <row r="94">
      <c r="A94" s="22"/>
      <c r="B94" s="10"/>
      <c r="E94" s="10"/>
      <c r="F94" s="25">
        <v>0.0</v>
      </c>
      <c r="G94" s="29"/>
      <c r="H94" s="27">
        <v>0.0</v>
      </c>
      <c r="I94" s="27">
        <v>0.0</v>
      </c>
      <c r="J94" s="10"/>
    </row>
    <row r="95">
      <c r="A95" s="22"/>
      <c r="B95" s="10"/>
      <c r="E95" s="10"/>
      <c r="F95" s="25">
        <v>0.0</v>
      </c>
      <c r="G95" s="29"/>
      <c r="H95" s="27">
        <v>0.0</v>
      </c>
      <c r="I95" s="27">
        <v>0.0</v>
      </c>
      <c r="J95" s="10"/>
    </row>
    <row r="96">
      <c r="A96" s="22"/>
      <c r="B96" s="10"/>
      <c r="E96" s="10"/>
      <c r="F96" s="25">
        <v>0.0</v>
      </c>
      <c r="G96" s="29"/>
      <c r="H96" s="27">
        <v>0.0</v>
      </c>
      <c r="I96" s="27">
        <v>0.0</v>
      </c>
      <c r="J96" s="10"/>
    </row>
    <row r="97">
      <c r="A97" s="22"/>
      <c r="B97" s="10"/>
      <c r="E97" s="10"/>
      <c r="F97" s="25">
        <v>0.0</v>
      </c>
      <c r="G97" s="29"/>
      <c r="H97" s="27">
        <v>0.0</v>
      </c>
      <c r="I97" s="27">
        <v>0.0</v>
      </c>
      <c r="J97" s="10"/>
    </row>
    <row r="98">
      <c r="A98" s="22"/>
      <c r="B98" s="10"/>
      <c r="E98" s="10"/>
      <c r="F98" s="25">
        <v>0.0</v>
      </c>
      <c r="G98" s="29"/>
      <c r="H98" s="27">
        <v>0.0</v>
      </c>
      <c r="I98" s="27">
        <v>0.0</v>
      </c>
      <c r="J98" s="10"/>
    </row>
    <row r="99">
      <c r="A99" s="22"/>
      <c r="B99" s="10"/>
      <c r="E99" s="10"/>
      <c r="F99" s="25">
        <v>0.0</v>
      </c>
      <c r="G99" s="29"/>
      <c r="H99" s="27">
        <v>0.0</v>
      </c>
      <c r="I99" s="27">
        <v>0.0</v>
      </c>
      <c r="J99" s="10"/>
    </row>
    <row r="100">
      <c r="A100" s="22"/>
      <c r="B100" s="10"/>
      <c r="E100" s="10"/>
      <c r="F100" s="25">
        <v>0.0</v>
      </c>
      <c r="G100" s="29"/>
      <c r="H100" s="27">
        <v>0.0</v>
      </c>
      <c r="I100" s="27">
        <v>0.0</v>
      </c>
      <c r="J100" s="10"/>
    </row>
    <row r="101">
      <c r="A101" s="22"/>
      <c r="B101" s="10"/>
      <c r="E101" s="10"/>
      <c r="F101" s="25">
        <v>0.0</v>
      </c>
      <c r="G101" s="29"/>
      <c r="H101" s="27">
        <v>0.0</v>
      </c>
      <c r="I101" s="27">
        <v>0.0</v>
      </c>
      <c r="J101" s="10"/>
    </row>
    <row r="102">
      <c r="A102" s="22"/>
      <c r="B102" s="10"/>
      <c r="E102" s="10"/>
      <c r="F102" s="25">
        <v>0.0</v>
      </c>
      <c r="G102" s="29"/>
      <c r="H102" s="27">
        <v>0.0</v>
      </c>
      <c r="I102" s="27">
        <v>0.0</v>
      </c>
      <c r="J102" s="10"/>
    </row>
    <row r="103">
      <c r="A103" s="22"/>
      <c r="B103" s="10"/>
      <c r="E103" s="10"/>
      <c r="F103" s="25">
        <v>0.0</v>
      </c>
      <c r="G103" s="29"/>
      <c r="H103" s="27">
        <v>0.0</v>
      </c>
      <c r="I103" s="27">
        <v>0.0</v>
      </c>
      <c r="J103" s="10"/>
    </row>
    <row r="104">
      <c r="A104" s="22"/>
      <c r="B104" s="10"/>
      <c r="E104" s="10"/>
      <c r="F104" s="25">
        <v>0.0</v>
      </c>
      <c r="G104" s="29"/>
      <c r="H104" s="27">
        <v>0.0</v>
      </c>
      <c r="I104" s="27">
        <v>0.0</v>
      </c>
      <c r="J104" s="10"/>
    </row>
    <row r="105">
      <c r="A105" s="22"/>
      <c r="B105" s="10"/>
      <c r="E105" s="10"/>
      <c r="F105" s="25">
        <v>0.0</v>
      </c>
      <c r="G105" s="29"/>
      <c r="H105" s="27">
        <v>0.0</v>
      </c>
      <c r="I105" s="27">
        <v>0.0</v>
      </c>
      <c r="J105" s="10"/>
    </row>
    <row r="106">
      <c r="A106" s="22"/>
      <c r="B106" s="10"/>
      <c r="E106" s="10"/>
      <c r="F106" s="25">
        <v>0.0</v>
      </c>
      <c r="G106" s="29"/>
      <c r="H106" s="27">
        <v>0.0</v>
      </c>
      <c r="I106" s="27">
        <v>0.0</v>
      </c>
      <c r="J106" s="10"/>
    </row>
    <row r="107">
      <c r="A107" s="22"/>
      <c r="B107" s="10"/>
      <c r="E107" s="10"/>
      <c r="F107" s="25">
        <v>0.0</v>
      </c>
      <c r="G107" s="29"/>
      <c r="H107" s="27">
        <v>0.0</v>
      </c>
      <c r="I107" s="27">
        <v>0.0</v>
      </c>
      <c r="J107" s="10"/>
    </row>
    <row r="108">
      <c r="A108" s="22"/>
      <c r="B108" s="10"/>
      <c r="E108" s="10"/>
      <c r="F108" s="25">
        <v>0.0</v>
      </c>
      <c r="G108" s="29"/>
      <c r="H108" s="27">
        <v>0.0</v>
      </c>
      <c r="I108" s="27">
        <v>0.0</v>
      </c>
      <c r="J108" s="10"/>
    </row>
    <row r="109">
      <c r="A109" s="22"/>
      <c r="B109" s="10"/>
      <c r="E109" s="10"/>
      <c r="F109" s="25">
        <v>0.0</v>
      </c>
      <c r="G109" s="29"/>
      <c r="H109" s="27">
        <v>0.0</v>
      </c>
      <c r="I109" s="27">
        <v>0.0</v>
      </c>
      <c r="J109" s="10"/>
    </row>
    <row r="110">
      <c r="A110" s="22"/>
      <c r="B110" s="10"/>
      <c r="E110" s="10"/>
      <c r="F110" s="25">
        <v>0.0</v>
      </c>
      <c r="G110" s="29"/>
      <c r="H110" s="27">
        <v>0.0</v>
      </c>
      <c r="I110" s="27">
        <v>0.0</v>
      </c>
      <c r="J110" s="10"/>
    </row>
    <row r="111">
      <c r="A111" s="22"/>
      <c r="B111" s="10"/>
      <c r="E111" s="10"/>
      <c r="F111" s="25">
        <v>0.0</v>
      </c>
      <c r="G111" s="29"/>
      <c r="H111" s="27">
        <v>0.0</v>
      </c>
      <c r="I111" s="27">
        <v>0.0</v>
      </c>
      <c r="J111" s="10"/>
    </row>
    <row r="112">
      <c r="A112" s="22"/>
      <c r="B112" s="10"/>
      <c r="E112" s="10"/>
      <c r="F112" s="25">
        <v>0.0</v>
      </c>
      <c r="G112" s="29"/>
      <c r="H112" s="27">
        <v>0.0</v>
      </c>
      <c r="I112" s="27">
        <v>0.0</v>
      </c>
      <c r="J112" s="10"/>
    </row>
    <row r="113">
      <c r="A113" s="22"/>
      <c r="B113" s="10"/>
      <c r="E113" s="10"/>
      <c r="F113" s="25">
        <v>0.0</v>
      </c>
      <c r="G113" s="29"/>
      <c r="H113" s="27">
        <v>0.0</v>
      </c>
      <c r="I113" s="27">
        <v>0.0</v>
      </c>
      <c r="J113" s="10"/>
    </row>
    <row r="114">
      <c r="A114" s="22"/>
      <c r="B114" s="10"/>
      <c r="E114" s="10"/>
      <c r="F114" s="25">
        <v>0.0</v>
      </c>
      <c r="G114" s="29"/>
      <c r="H114" s="27">
        <v>0.0</v>
      </c>
      <c r="I114" s="27">
        <v>0.0</v>
      </c>
      <c r="J114" s="10"/>
    </row>
    <row r="115">
      <c r="A115" s="22"/>
      <c r="B115" s="10"/>
      <c r="E115" s="10"/>
      <c r="F115" s="25">
        <v>0.0</v>
      </c>
      <c r="G115" s="29"/>
      <c r="H115" s="27">
        <v>0.0</v>
      </c>
      <c r="I115" s="27">
        <v>0.0</v>
      </c>
      <c r="J115" s="10"/>
    </row>
    <row r="116">
      <c r="A116" s="22"/>
      <c r="B116" s="10"/>
      <c r="E116" s="10"/>
      <c r="F116" s="25">
        <v>0.0</v>
      </c>
      <c r="G116" s="29"/>
      <c r="H116" s="27">
        <v>0.0</v>
      </c>
      <c r="I116" s="27">
        <v>0.0</v>
      </c>
      <c r="J116" s="10"/>
    </row>
    <row r="117">
      <c r="A117" s="22"/>
      <c r="B117" s="10"/>
      <c r="E117" s="10"/>
      <c r="F117" s="25">
        <v>0.0</v>
      </c>
      <c r="G117" s="29"/>
      <c r="H117" s="27">
        <v>0.0</v>
      </c>
      <c r="I117" s="27">
        <v>0.0</v>
      </c>
      <c r="J117" s="10"/>
    </row>
    <row r="118">
      <c r="A118" s="22"/>
      <c r="B118" s="10"/>
      <c r="E118" s="10"/>
      <c r="F118" s="25">
        <v>0.0</v>
      </c>
      <c r="G118" s="29"/>
      <c r="H118" s="27">
        <v>0.0</v>
      </c>
      <c r="I118" s="27">
        <v>0.0</v>
      </c>
      <c r="J118" s="10"/>
    </row>
    <row r="119">
      <c r="A119" s="22"/>
      <c r="B119" s="10"/>
      <c r="E119" s="10"/>
      <c r="F119" s="25">
        <v>0.0</v>
      </c>
      <c r="G119" s="29"/>
      <c r="H119" s="27">
        <v>0.0</v>
      </c>
      <c r="I119" s="27">
        <v>0.0</v>
      </c>
      <c r="J119" s="10"/>
    </row>
    <row r="120">
      <c r="A120" s="22"/>
      <c r="B120" s="10"/>
      <c r="E120" s="10"/>
      <c r="F120" s="25">
        <v>0.0</v>
      </c>
      <c r="G120" s="29"/>
      <c r="H120" s="27">
        <v>0.0</v>
      </c>
      <c r="I120" s="27">
        <v>0.0</v>
      </c>
      <c r="J120" s="10"/>
    </row>
    <row r="121">
      <c r="A121" s="22"/>
      <c r="B121" s="10"/>
      <c r="E121" s="10"/>
      <c r="F121" s="25">
        <v>0.0</v>
      </c>
      <c r="G121" s="29"/>
      <c r="H121" s="27">
        <v>0.0</v>
      </c>
      <c r="I121" s="27">
        <v>0.0</v>
      </c>
      <c r="J121" s="10"/>
    </row>
    <row r="122">
      <c r="A122" s="22"/>
      <c r="B122" s="10"/>
      <c r="E122" s="10"/>
      <c r="F122" s="25">
        <v>0.0</v>
      </c>
      <c r="G122" s="29"/>
      <c r="H122" s="27">
        <v>0.0</v>
      </c>
      <c r="I122" s="27">
        <v>0.0</v>
      </c>
      <c r="J122" s="10"/>
    </row>
    <row r="123">
      <c r="A123" s="22"/>
      <c r="B123" s="10"/>
      <c r="E123" s="10"/>
      <c r="F123" s="25">
        <v>0.0</v>
      </c>
      <c r="G123" s="29"/>
      <c r="H123" s="27">
        <v>0.0</v>
      </c>
      <c r="I123" s="27">
        <v>0.0</v>
      </c>
      <c r="J123" s="10"/>
    </row>
    <row r="124">
      <c r="A124" s="22"/>
      <c r="B124" s="10"/>
      <c r="E124" s="10"/>
      <c r="F124" s="25">
        <v>0.0</v>
      </c>
      <c r="G124" s="29"/>
      <c r="H124" s="27">
        <v>0.0</v>
      </c>
      <c r="I124" s="27">
        <v>0.0</v>
      </c>
      <c r="J124" s="10"/>
    </row>
    <row r="125">
      <c r="A125" s="22"/>
      <c r="B125" s="10"/>
      <c r="E125" s="10"/>
      <c r="F125" s="25">
        <v>0.0</v>
      </c>
      <c r="G125" s="29"/>
      <c r="H125" s="27">
        <v>0.0</v>
      </c>
      <c r="I125" s="27">
        <v>0.0</v>
      </c>
      <c r="J125" s="10"/>
    </row>
    <row r="126">
      <c r="A126" s="22"/>
      <c r="B126" s="10"/>
      <c r="E126" s="10"/>
      <c r="F126" s="25">
        <v>0.0</v>
      </c>
      <c r="G126" s="29"/>
      <c r="H126" s="27">
        <v>0.0</v>
      </c>
      <c r="I126" s="27">
        <v>0.0</v>
      </c>
      <c r="J126" s="10"/>
    </row>
    <row r="127">
      <c r="A127" s="22"/>
      <c r="B127" s="10"/>
      <c r="E127" s="10"/>
      <c r="F127" s="25">
        <v>0.0</v>
      </c>
      <c r="G127" s="29"/>
      <c r="H127" s="27">
        <v>0.0</v>
      </c>
      <c r="I127" s="27">
        <v>0.0</v>
      </c>
      <c r="J127" s="10"/>
    </row>
    <row r="128">
      <c r="A128" s="22"/>
      <c r="B128" s="10"/>
      <c r="E128" s="10"/>
      <c r="F128" s="25">
        <v>0.0</v>
      </c>
      <c r="G128" s="29"/>
      <c r="H128" s="27">
        <v>0.0</v>
      </c>
      <c r="I128" s="27">
        <v>0.0</v>
      </c>
      <c r="J128" s="10"/>
    </row>
    <row r="129">
      <c r="A129" s="22"/>
      <c r="B129" s="10"/>
      <c r="E129" s="10"/>
      <c r="F129" s="25">
        <v>0.0</v>
      </c>
      <c r="G129" s="29"/>
      <c r="H129" s="27">
        <v>0.0</v>
      </c>
      <c r="I129" s="27">
        <v>0.0</v>
      </c>
      <c r="J129" s="10"/>
    </row>
    <row r="130">
      <c r="A130" s="22"/>
      <c r="B130" s="10"/>
      <c r="E130" s="10"/>
      <c r="F130" s="25">
        <v>0.0</v>
      </c>
      <c r="G130" s="29"/>
      <c r="H130" s="27">
        <v>0.0</v>
      </c>
      <c r="I130" s="27">
        <v>0.0</v>
      </c>
      <c r="J130" s="10"/>
    </row>
    <row r="131">
      <c r="A131" s="22"/>
      <c r="B131" s="10"/>
      <c r="E131" s="10"/>
      <c r="F131" s="25">
        <v>0.0</v>
      </c>
      <c r="G131" s="29"/>
      <c r="H131" s="27">
        <v>0.0</v>
      </c>
      <c r="I131" s="27">
        <v>0.0</v>
      </c>
      <c r="J131" s="10"/>
    </row>
    <row r="132">
      <c r="A132" s="22"/>
      <c r="B132" s="10"/>
      <c r="E132" s="10"/>
      <c r="F132" s="25">
        <v>0.0</v>
      </c>
      <c r="G132" s="29"/>
      <c r="H132" s="27">
        <v>0.0</v>
      </c>
      <c r="I132" s="27">
        <v>0.0</v>
      </c>
      <c r="J132" s="10"/>
    </row>
    <row r="133">
      <c r="A133" s="22"/>
      <c r="B133" s="10"/>
      <c r="E133" s="10"/>
      <c r="F133" s="25">
        <v>0.0</v>
      </c>
      <c r="G133" s="29"/>
      <c r="H133" s="27">
        <v>0.0</v>
      </c>
      <c r="I133" s="27">
        <v>0.0</v>
      </c>
      <c r="J133" s="10"/>
    </row>
    <row r="134">
      <c r="A134" s="22"/>
      <c r="B134" s="10"/>
      <c r="E134" s="10"/>
      <c r="F134" s="25">
        <v>0.0</v>
      </c>
      <c r="G134" s="29"/>
      <c r="H134" s="27">
        <v>0.0</v>
      </c>
      <c r="I134" s="27">
        <v>0.0</v>
      </c>
      <c r="J134" s="10"/>
    </row>
    <row r="135">
      <c r="A135" s="22"/>
      <c r="B135" s="10"/>
      <c r="E135" s="10"/>
      <c r="F135" s="25">
        <v>0.0</v>
      </c>
      <c r="G135" s="29"/>
      <c r="H135" s="27">
        <v>0.0</v>
      </c>
      <c r="I135" s="27">
        <v>0.0</v>
      </c>
      <c r="J135" s="10"/>
    </row>
    <row r="136">
      <c r="A136" s="22"/>
      <c r="B136" s="10"/>
      <c r="E136" s="10"/>
      <c r="F136" s="25">
        <v>0.0</v>
      </c>
      <c r="G136" s="29"/>
      <c r="H136" s="27">
        <v>0.0</v>
      </c>
      <c r="I136" s="27">
        <v>0.0</v>
      </c>
      <c r="J136" s="10"/>
    </row>
    <row r="137">
      <c r="A137" s="22"/>
      <c r="B137" s="10"/>
      <c r="E137" s="10"/>
      <c r="F137" s="25">
        <v>0.0</v>
      </c>
      <c r="G137" s="29"/>
      <c r="H137" s="27">
        <v>0.0</v>
      </c>
      <c r="I137" s="27">
        <v>0.0</v>
      </c>
      <c r="J137" s="10"/>
    </row>
    <row r="138">
      <c r="A138" s="22"/>
      <c r="B138" s="10"/>
      <c r="E138" s="10"/>
      <c r="F138" s="25">
        <v>0.0</v>
      </c>
      <c r="G138" s="29"/>
      <c r="H138" s="27">
        <v>0.0</v>
      </c>
      <c r="I138" s="27">
        <v>0.0</v>
      </c>
      <c r="J138" s="10"/>
    </row>
    <row r="139">
      <c r="A139" s="22"/>
      <c r="B139" s="10"/>
      <c r="E139" s="10"/>
      <c r="F139" s="25">
        <v>0.0</v>
      </c>
      <c r="G139" s="29"/>
      <c r="H139" s="27">
        <v>0.0</v>
      </c>
      <c r="I139" s="27">
        <v>0.0</v>
      </c>
      <c r="J139" s="10"/>
    </row>
    <row r="140">
      <c r="A140" s="22"/>
      <c r="B140" s="10"/>
      <c r="E140" s="10"/>
      <c r="F140" s="25">
        <v>0.0</v>
      </c>
      <c r="G140" s="29"/>
      <c r="H140" s="27">
        <v>0.0</v>
      </c>
      <c r="I140" s="27">
        <v>0.0</v>
      </c>
      <c r="J140" s="10"/>
    </row>
    <row r="141">
      <c r="A141" s="22"/>
      <c r="B141" s="10"/>
      <c r="E141" s="10"/>
      <c r="F141" s="25">
        <v>0.0</v>
      </c>
      <c r="G141" s="29"/>
      <c r="H141" s="27">
        <v>0.0</v>
      </c>
      <c r="I141" s="27">
        <v>0.0</v>
      </c>
      <c r="J141" s="10"/>
    </row>
    <row r="142">
      <c r="A142" s="22"/>
      <c r="B142" s="10"/>
      <c r="E142" s="10"/>
      <c r="F142" s="25">
        <v>0.0</v>
      </c>
      <c r="G142" s="29"/>
      <c r="H142" s="27">
        <v>0.0</v>
      </c>
      <c r="I142" s="27">
        <v>0.0</v>
      </c>
      <c r="J142" s="10"/>
    </row>
    <row r="143">
      <c r="A143" s="22"/>
      <c r="B143" s="10"/>
      <c r="E143" s="10"/>
      <c r="F143" s="25">
        <v>0.0</v>
      </c>
      <c r="G143" s="29"/>
      <c r="H143" s="27">
        <v>0.0</v>
      </c>
      <c r="I143" s="27">
        <v>0.0</v>
      </c>
      <c r="J143" s="10"/>
    </row>
    <row r="144">
      <c r="A144" s="22"/>
      <c r="B144" s="10"/>
      <c r="E144" s="10"/>
      <c r="F144" s="25">
        <v>0.0</v>
      </c>
      <c r="G144" s="29"/>
      <c r="H144" s="27">
        <v>0.0</v>
      </c>
      <c r="I144" s="27">
        <v>0.0</v>
      </c>
      <c r="J144" s="10"/>
    </row>
    <row r="145">
      <c r="A145" s="22"/>
      <c r="B145" s="10"/>
      <c r="E145" s="10"/>
      <c r="F145" s="25">
        <v>0.0</v>
      </c>
      <c r="G145" s="29"/>
      <c r="H145" s="27">
        <v>0.0</v>
      </c>
      <c r="I145" s="27">
        <v>0.0</v>
      </c>
      <c r="J145" s="10"/>
    </row>
    <row r="146">
      <c r="A146" s="22"/>
      <c r="B146" s="10"/>
      <c r="E146" s="10"/>
      <c r="F146" s="25">
        <v>0.0</v>
      </c>
      <c r="G146" s="29"/>
      <c r="H146" s="27">
        <v>0.0</v>
      </c>
      <c r="I146" s="27">
        <v>0.0</v>
      </c>
      <c r="J146" s="10"/>
    </row>
    <row r="147">
      <c r="A147" s="22"/>
      <c r="B147" s="10"/>
      <c r="E147" s="10"/>
      <c r="F147" s="25">
        <v>0.0</v>
      </c>
      <c r="G147" s="29"/>
      <c r="H147" s="27">
        <v>0.0</v>
      </c>
      <c r="I147" s="27">
        <v>0.0</v>
      </c>
      <c r="J147" s="10"/>
    </row>
    <row r="148">
      <c r="A148" s="22"/>
      <c r="B148" s="10"/>
      <c r="E148" s="10"/>
      <c r="F148" s="25">
        <v>0.0</v>
      </c>
      <c r="G148" s="29"/>
      <c r="H148" s="27">
        <v>0.0</v>
      </c>
      <c r="I148" s="27">
        <v>0.0</v>
      </c>
      <c r="J148" s="10"/>
    </row>
    <row r="149">
      <c r="A149" s="22"/>
      <c r="B149" s="10"/>
      <c r="E149" s="10"/>
      <c r="F149" s="25">
        <v>0.0</v>
      </c>
      <c r="G149" s="29"/>
      <c r="H149" s="27">
        <v>0.0</v>
      </c>
      <c r="I149" s="27">
        <v>0.0</v>
      </c>
      <c r="J149" s="10"/>
    </row>
    <row r="150">
      <c r="A150" s="22"/>
      <c r="B150" s="10"/>
      <c r="E150" s="10"/>
      <c r="F150" s="25">
        <v>0.0</v>
      </c>
      <c r="G150" s="29"/>
      <c r="H150" s="27">
        <v>0.0</v>
      </c>
      <c r="I150" s="27">
        <v>0.0</v>
      </c>
      <c r="J150" s="10"/>
    </row>
    <row r="151">
      <c r="A151" s="22"/>
      <c r="B151" s="10"/>
      <c r="E151" s="10"/>
      <c r="F151" s="25">
        <v>0.0</v>
      </c>
      <c r="G151" s="29"/>
      <c r="H151" s="27">
        <v>0.0</v>
      </c>
      <c r="I151" s="27">
        <v>0.0</v>
      </c>
      <c r="J151" s="10"/>
    </row>
    <row r="152">
      <c r="A152" s="22"/>
      <c r="B152" s="10"/>
      <c r="E152" s="10"/>
      <c r="F152" s="25">
        <v>0.0</v>
      </c>
      <c r="G152" s="29"/>
      <c r="H152" s="27">
        <v>0.0</v>
      </c>
      <c r="I152" s="27">
        <v>0.0</v>
      </c>
      <c r="J152" s="10"/>
    </row>
    <row r="153">
      <c r="A153" s="22"/>
      <c r="B153" s="10"/>
      <c r="E153" s="10"/>
      <c r="F153" s="25">
        <v>0.0</v>
      </c>
      <c r="G153" s="29"/>
      <c r="H153" s="27">
        <v>0.0</v>
      </c>
      <c r="I153" s="27">
        <v>0.0</v>
      </c>
      <c r="J153" s="10"/>
    </row>
    <row r="154">
      <c r="A154" s="22"/>
      <c r="B154" s="10"/>
      <c r="E154" s="10"/>
      <c r="F154" s="25">
        <v>0.0</v>
      </c>
      <c r="G154" s="29"/>
      <c r="H154" s="27">
        <v>0.0</v>
      </c>
      <c r="I154" s="27">
        <v>0.0</v>
      </c>
      <c r="J154" s="10"/>
    </row>
    <row r="155">
      <c r="A155" s="22"/>
      <c r="B155" s="10"/>
      <c r="E155" s="10"/>
      <c r="F155" s="25">
        <v>0.0</v>
      </c>
      <c r="G155" s="29"/>
      <c r="H155" s="27">
        <v>0.0</v>
      </c>
      <c r="I155" s="27">
        <v>0.0</v>
      </c>
      <c r="J155" s="10"/>
    </row>
    <row r="156">
      <c r="A156" s="22"/>
      <c r="B156" s="10"/>
      <c r="E156" s="10"/>
      <c r="F156" s="25">
        <v>0.0</v>
      </c>
      <c r="G156" s="29"/>
      <c r="H156" s="27">
        <v>0.0</v>
      </c>
      <c r="I156" s="27">
        <v>0.0</v>
      </c>
      <c r="J156" s="10"/>
    </row>
    <row r="157">
      <c r="A157" s="22"/>
      <c r="B157" s="10"/>
      <c r="E157" s="10"/>
      <c r="F157" s="25">
        <v>0.0</v>
      </c>
      <c r="G157" s="29"/>
      <c r="H157" s="27">
        <v>0.0</v>
      </c>
      <c r="I157" s="27">
        <v>0.0</v>
      </c>
      <c r="J157" s="10"/>
    </row>
    <row r="158">
      <c r="A158" s="22"/>
      <c r="B158" s="10"/>
      <c r="E158" s="10"/>
      <c r="F158" s="25">
        <v>0.0</v>
      </c>
      <c r="G158" s="29"/>
      <c r="H158" s="27">
        <v>0.0</v>
      </c>
      <c r="I158" s="27">
        <v>0.0</v>
      </c>
      <c r="J158" s="10"/>
    </row>
    <row r="159">
      <c r="A159" s="22"/>
      <c r="B159" s="10"/>
      <c r="E159" s="10"/>
      <c r="F159" s="25">
        <v>0.0</v>
      </c>
      <c r="G159" s="29"/>
      <c r="H159" s="27">
        <v>0.0</v>
      </c>
      <c r="I159" s="27">
        <v>0.0</v>
      </c>
      <c r="J159" s="10"/>
    </row>
    <row r="160">
      <c r="A160" s="22"/>
      <c r="B160" s="10"/>
      <c r="E160" s="10"/>
      <c r="F160" s="25">
        <v>0.0</v>
      </c>
      <c r="G160" s="29"/>
      <c r="H160" s="27">
        <v>0.0</v>
      </c>
      <c r="I160" s="27">
        <v>0.0</v>
      </c>
      <c r="J160" s="10"/>
    </row>
    <row r="161">
      <c r="A161" s="22"/>
      <c r="B161" s="10"/>
      <c r="E161" s="10"/>
      <c r="F161" s="25">
        <v>0.0</v>
      </c>
      <c r="G161" s="29"/>
      <c r="H161" s="27">
        <v>0.0</v>
      </c>
      <c r="I161" s="27">
        <v>0.0</v>
      </c>
      <c r="J161" s="10"/>
    </row>
    <row r="162">
      <c r="A162" s="22"/>
      <c r="B162" s="10"/>
      <c r="E162" s="10"/>
      <c r="F162" s="25">
        <v>0.0</v>
      </c>
      <c r="G162" s="29"/>
      <c r="H162" s="27">
        <v>0.0</v>
      </c>
      <c r="I162" s="27">
        <v>0.0</v>
      </c>
      <c r="J162" s="10"/>
    </row>
    <row r="163">
      <c r="A163" s="22"/>
      <c r="B163" s="10"/>
      <c r="E163" s="10"/>
      <c r="F163" s="25">
        <v>0.0</v>
      </c>
      <c r="G163" s="29"/>
      <c r="H163" s="27">
        <v>0.0</v>
      </c>
      <c r="I163" s="27">
        <v>0.0</v>
      </c>
      <c r="J163" s="10"/>
    </row>
    <row r="164">
      <c r="A164" s="22"/>
      <c r="B164" s="10"/>
      <c r="E164" s="10"/>
      <c r="F164" s="25">
        <v>0.0</v>
      </c>
      <c r="G164" s="29"/>
      <c r="H164" s="27">
        <v>0.0</v>
      </c>
      <c r="I164" s="27">
        <v>0.0</v>
      </c>
      <c r="J164" s="10"/>
    </row>
    <row r="165">
      <c r="A165" s="22"/>
      <c r="B165" s="10"/>
      <c r="E165" s="10"/>
      <c r="F165" s="25">
        <v>0.0</v>
      </c>
      <c r="G165" s="29"/>
      <c r="H165" s="27">
        <v>0.0</v>
      </c>
      <c r="I165" s="27">
        <v>0.0</v>
      </c>
      <c r="J165" s="10"/>
    </row>
    <row r="166">
      <c r="A166" s="22"/>
      <c r="B166" s="10"/>
      <c r="E166" s="10"/>
      <c r="F166" s="25">
        <v>0.0</v>
      </c>
      <c r="G166" s="29"/>
      <c r="H166" s="27">
        <v>0.0</v>
      </c>
      <c r="I166" s="27">
        <v>0.0</v>
      </c>
      <c r="J166" s="10"/>
    </row>
    <row r="167">
      <c r="A167" s="22"/>
      <c r="B167" s="10"/>
      <c r="E167" s="10"/>
      <c r="F167" s="25">
        <v>0.0</v>
      </c>
      <c r="G167" s="29"/>
      <c r="H167" s="27">
        <v>0.0</v>
      </c>
      <c r="I167" s="27">
        <v>0.0</v>
      </c>
      <c r="J167" s="10"/>
    </row>
    <row r="168">
      <c r="A168" s="22"/>
      <c r="B168" s="10"/>
      <c r="E168" s="10"/>
      <c r="F168" s="25">
        <v>0.0</v>
      </c>
      <c r="G168" s="29"/>
      <c r="H168" s="27">
        <v>0.0</v>
      </c>
      <c r="I168" s="27">
        <v>0.0</v>
      </c>
      <c r="J168" s="10"/>
    </row>
    <row r="169">
      <c r="A169" s="22"/>
      <c r="B169" s="10"/>
      <c r="E169" s="10"/>
      <c r="F169" s="25">
        <v>0.0</v>
      </c>
      <c r="G169" s="29"/>
      <c r="H169" s="27">
        <v>0.0</v>
      </c>
      <c r="I169" s="27">
        <v>0.0</v>
      </c>
      <c r="J169" s="10"/>
    </row>
    <row r="170">
      <c r="A170" s="22"/>
      <c r="B170" s="10"/>
      <c r="E170" s="10"/>
      <c r="F170" s="25">
        <v>0.0</v>
      </c>
      <c r="G170" s="29"/>
      <c r="H170" s="27">
        <v>0.0</v>
      </c>
      <c r="I170" s="27">
        <v>0.0</v>
      </c>
      <c r="J170" s="10"/>
    </row>
    <row r="171">
      <c r="A171" s="22"/>
      <c r="B171" s="10"/>
      <c r="E171" s="10"/>
      <c r="F171" s="25">
        <v>0.0</v>
      </c>
      <c r="G171" s="29"/>
      <c r="H171" s="27">
        <v>0.0</v>
      </c>
      <c r="I171" s="27">
        <v>0.0</v>
      </c>
      <c r="J171" s="10"/>
    </row>
    <row r="172">
      <c r="A172" s="22"/>
      <c r="B172" s="10"/>
      <c r="E172" s="10"/>
      <c r="F172" s="25">
        <v>0.0</v>
      </c>
      <c r="G172" s="29"/>
      <c r="H172" s="27">
        <v>0.0</v>
      </c>
      <c r="I172" s="27">
        <v>0.0</v>
      </c>
      <c r="J172" s="10"/>
    </row>
    <row r="173">
      <c r="A173" s="22"/>
      <c r="B173" s="10"/>
      <c r="E173" s="10"/>
      <c r="F173" s="25">
        <v>0.0</v>
      </c>
      <c r="G173" s="29"/>
      <c r="H173" s="27">
        <v>0.0</v>
      </c>
      <c r="I173" s="27">
        <v>0.0</v>
      </c>
      <c r="J173" s="10"/>
    </row>
    <row r="174">
      <c r="A174" s="22"/>
      <c r="B174" s="10"/>
      <c r="E174" s="10"/>
      <c r="F174" s="25">
        <v>0.0</v>
      </c>
      <c r="G174" s="29"/>
      <c r="H174" s="27">
        <v>0.0</v>
      </c>
      <c r="I174" s="27">
        <v>0.0</v>
      </c>
      <c r="J174" s="10"/>
    </row>
    <row r="175">
      <c r="A175" s="22"/>
      <c r="B175" s="10"/>
      <c r="E175" s="10"/>
      <c r="F175" s="25">
        <v>0.0</v>
      </c>
      <c r="G175" s="29"/>
      <c r="H175" s="27">
        <v>0.0</v>
      </c>
      <c r="I175" s="27">
        <v>0.0</v>
      </c>
      <c r="J175" s="10"/>
    </row>
    <row r="176">
      <c r="A176" s="22"/>
      <c r="B176" s="10"/>
      <c r="E176" s="10"/>
      <c r="F176" s="25">
        <v>0.0</v>
      </c>
      <c r="G176" s="29"/>
      <c r="H176" s="27">
        <v>0.0</v>
      </c>
      <c r="I176" s="27">
        <v>0.0</v>
      </c>
      <c r="J176" s="10"/>
    </row>
    <row r="177">
      <c r="A177" s="22"/>
      <c r="B177" s="10"/>
      <c r="E177" s="10"/>
      <c r="F177" s="25">
        <v>0.0</v>
      </c>
      <c r="G177" s="29"/>
      <c r="H177" s="27">
        <v>0.0</v>
      </c>
      <c r="I177" s="27">
        <v>0.0</v>
      </c>
      <c r="J177" s="10"/>
    </row>
    <row r="178">
      <c r="A178" s="22"/>
      <c r="B178" s="10"/>
      <c r="E178" s="10"/>
      <c r="F178" s="25">
        <v>0.0</v>
      </c>
      <c r="G178" s="29"/>
      <c r="H178" s="27">
        <v>0.0</v>
      </c>
      <c r="I178" s="27">
        <v>0.0</v>
      </c>
      <c r="J178" s="10"/>
    </row>
    <row r="179">
      <c r="A179" s="22"/>
      <c r="B179" s="10"/>
      <c r="E179" s="10"/>
      <c r="F179" s="25">
        <v>0.0</v>
      </c>
      <c r="G179" s="29"/>
      <c r="H179" s="27">
        <v>0.0</v>
      </c>
      <c r="I179" s="27">
        <v>0.0</v>
      </c>
      <c r="J179" s="10"/>
    </row>
    <row r="180">
      <c r="A180" s="22"/>
      <c r="B180" s="10"/>
      <c r="E180" s="10"/>
      <c r="F180" s="25">
        <v>0.0</v>
      </c>
      <c r="G180" s="29"/>
      <c r="H180" s="27">
        <v>0.0</v>
      </c>
      <c r="I180" s="27">
        <v>0.0</v>
      </c>
      <c r="J180" s="10"/>
    </row>
    <row r="181">
      <c r="A181" s="22"/>
      <c r="B181" s="10"/>
      <c r="E181" s="10"/>
      <c r="F181" s="25">
        <v>0.0</v>
      </c>
      <c r="G181" s="29"/>
      <c r="H181" s="27">
        <v>0.0</v>
      </c>
      <c r="I181" s="27">
        <v>0.0</v>
      </c>
      <c r="J181" s="10"/>
    </row>
    <row r="182">
      <c r="A182" s="22"/>
      <c r="B182" s="10"/>
      <c r="E182" s="10"/>
      <c r="F182" s="25">
        <v>0.0</v>
      </c>
      <c r="G182" s="29"/>
      <c r="H182" s="27">
        <v>0.0</v>
      </c>
      <c r="I182" s="27">
        <v>0.0</v>
      </c>
      <c r="J182" s="10"/>
    </row>
    <row r="183">
      <c r="A183" s="22"/>
      <c r="B183" s="10"/>
      <c r="E183" s="10"/>
      <c r="F183" s="25">
        <v>0.0</v>
      </c>
      <c r="G183" s="29"/>
      <c r="H183" s="27">
        <v>0.0</v>
      </c>
      <c r="I183" s="27">
        <v>0.0</v>
      </c>
      <c r="J183" s="10"/>
    </row>
    <row r="184">
      <c r="A184" s="22"/>
      <c r="B184" s="10"/>
      <c r="E184" s="10"/>
      <c r="F184" s="25">
        <v>0.0</v>
      </c>
      <c r="G184" s="29"/>
      <c r="H184" s="27">
        <v>0.0</v>
      </c>
      <c r="I184" s="27">
        <v>0.0</v>
      </c>
      <c r="J184" s="10"/>
    </row>
    <row r="185">
      <c r="A185" s="22"/>
      <c r="B185" s="10"/>
      <c r="E185" s="10"/>
      <c r="F185" s="25">
        <v>0.0</v>
      </c>
      <c r="G185" s="29"/>
      <c r="H185" s="27">
        <v>0.0</v>
      </c>
      <c r="I185" s="27">
        <v>0.0</v>
      </c>
      <c r="J185" s="10"/>
    </row>
    <row r="186">
      <c r="A186" s="22"/>
      <c r="B186" s="10"/>
      <c r="E186" s="10"/>
      <c r="F186" s="25">
        <v>0.0</v>
      </c>
      <c r="G186" s="29"/>
      <c r="H186" s="27">
        <v>0.0</v>
      </c>
      <c r="I186" s="27">
        <v>0.0</v>
      </c>
      <c r="J186" s="10"/>
    </row>
    <row r="187">
      <c r="A187" s="22"/>
      <c r="B187" s="10"/>
      <c r="E187" s="10"/>
      <c r="F187" s="25">
        <v>0.0</v>
      </c>
      <c r="G187" s="29"/>
      <c r="H187" s="27">
        <v>0.0</v>
      </c>
      <c r="I187" s="27">
        <v>0.0</v>
      </c>
      <c r="J187" s="10"/>
    </row>
    <row r="188">
      <c r="A188" s="22"/>
      <c r="B188" s="10"/>
      <c r="E188" s="10"/>
      <c r="F188" s="25">
        <v>0.0</v>
      </c>
      <c r="G188" s="29"/>
      <c r="H188" s="27">
        <v>0.0</v>
      </c>
      <c r="I188" s="27">
        <v>0.0</v>
      </c>
      <c r="J188" s="10"/>
    </row>
    <row r="189">
      <c r="A189" s="22"/>
      <c r="B189" s="10"/>
      <c r="E189" s="10"/>
      <c r="F189" s="25">
        <v>0.0</v>
      </c>
      <c r="G189" s="29"/>
      <c r="H189" s="27">
        <v>0.0</v>
      </c>
      <c r="I189" s="27">
        <v>0.0</v>
      </c>
      <c r="J189" s="10"/>
    </row>
    <row r="190">
      <c r="A190" s="22"/>
      <c r="B190" s="10"/>
      <c r="E190" s="10"/>
      <c r="F190" s="25">
        <v>0.0</v>
      </c>
      <c r="G190" s="29"/>
      <c r="H190" s="27">
        <v>0.0</v>
      </c>
      <c r="I190" s="27">
        <v>0.0</v>
      </c>
      <c r="J190" s="10"/>
    </row>
    <row r="191">
      <c r="A191" s="22"/>
      <c r="B191" s="10"/>
      <c r="E191" s="10"/>
      <c r="F191" s="25">
        <v>0.0</v>
      </c>
      <c r="G191" s="29"/>
      <c r="H191" s="27">
        <v>0.0</v>
      </c>
      <c r="I191" s="27">
        <v>0.0</v>
      </c>
      <c r="J191" s="10"/>
    </row>
    <row r="192">
      <c r="A192" s="22"/>
      <c r="B192" s="10"/>
      <c r="E192" s="10"/>
      <c r="F192" s="25">
        <v>0.0</v>
      </c>
      <c r="G192" s="29"/>
      <c r="H192" s="27">
        <v>0.0</v>
      </c>
      <c r="I192" s="27">
        <v>0.0</v>
      </c>
      <c r="J192" s="10"/>
    </row>
    <row r="193">
      <c r="A193" s="22"/>
      <c r="B193" s="10"/>
      <c r="E193" s="10"/>
      <c r="F193" s="25">
        <v>0.0</v>
      </c>
      <c r="G193" s="29"/>
      <c r="H193" s="27">
        <v>0.0</v>
      </c>
      <c r="I193" s="27">
        <v>0.0</v>
      </c>
      <c r="J193" s="10"/>
    </row>
    <row r="194">
      <c r="A194" s="22"/>
      <c r="B194" s="10"/>
      <c r="E194" s="10"/>
      <c r="F194" s="25">
        <v>0.0</v>
      </c>
      <c r="G194" s="29"/>
      <c r="H194" s="27">
        <v>0.0</v>
      </c>
      <c r="I194" s="27">
        <v>0.0</v>
      </c>
      <c r="J194" s="10"/>
    </row>
    <row r="195">
      <c r="A195" s="22"/>
      <c r="B195" s="10"/>
      <c r="E195" s="10"/>
      <c r="F195" s="25">
        <v>0.0</v>
      </c>
      <c r="G195" s="29"/>
      <c r="H195" s="27">
        <v>0.0</v>
      </c>
      <c r="I195" s="27">
        <v>0.0</v>
      </c>
      <c r="J195" s="10"/>
    </row>
    <row r="196">
      <c r="A196" s="22"/>
      <c r="B196" s="10"/>
      <c r="E196" s="10"/>
      <c r="F196" s="25">
        <v>0.0</v>
      </c>
      <c r="G196" s="29"/>
      <c r="H196" s="27">
        <v>0.0</v>
      </c>
      <c r="I196" s="27">
        <v>0.0</v>
      </c>
      <c r="J196" s="10"/>
    </row>
    <row r="197">
      <c r="A197" s="22"/>
      <c r="B197" s="10"/>
      <c r="E197" s="10"/>
      <c r="F197" s="25">
        <v>0.0</v>
      </c>
      <c r="G197" s="29"/>
      <c r="H197" s="27">
        <v>0.0</v>
      </c>
      <c r="I197" s="27">
        <v>0.0</v>
      </c>
      <c r="J197" s="10"/>
    </row>
    <row r="198">
      <c r="A198" s="22"/>
      <c r="B198" s="10"/>
      <c r="E198" s="10"/>
      <c r="F198" s="25">
        <v>0.0</v>
      </c>
      <c r="G198" s="29"/>
      <c r="H198" s="27">
        <v>0.0</v>
      </c>
      <c r="I198" s="27">
        <v>0.0</v>
      </c>
      <c r="J198" s="10"/>
    </row>
    <row r="199">
      <c r="A199" s="22"/>
      <c r="B199" s="10"/>
      <c r="E199" s="10"/>
      <c r="F199" s="25">
        <v>0.0</v>
      </c>
      <c r="G199" s="29"/>
      <c r="H199" s="27">
        <v>0.0</v>
      </c>
      <c r="I199" s="27">
        <v>0.0</v>
      </c>
      <c r="J199" s="10"/>
    </row>
    <row r="200">
      <c r="A200" s="22"/>
      <c r="B200" s="10"/>
      <c r="E200" s="10"/>
      <c r="F200" s="25">
        <v>0.0</v>
      </c>
      <c r="G200" s="29"/>
      <c r="H200" s="27">
        <v>0.0</v>
      </c>
      <c r="I200" s="27">
        <v>0.0</v>
      </c>
      <c r="J200" s="10"/>
    </row>
    <row r="201">
      <c r="A201" s="22"/>
      <c r="B201" s="10"/>
      <c r="E201" s="10"/>
      <c r="F201" s="25">
        <v>0.0</v>
      </c>
      <c r="G201" s="29"/>
      <c r="H201" s="27">
        <v>0.0</v>
      </c>
      <c r="I201" s="27">
        <v>0.0</v>
      </c>
      <c r="J201" s="10"/>
    </row>
    <row r="202">
      <c r="A202" s="22"/>
      <c r="B202" s="10"/>
      <c r="E202" s="10"/>
      <c r="F202" s="25">
        <v>0.0</v>
      </c>
      <c r="G202" s="29"/>
      <c r="H202" s="27">
        <v>0.0</v>
      </c>
      <c r="I202" s="27">
        <v>0.0</v>
      </c>
      <c r="J202" s="10"/>
    </row>
    <row r="203">
      <c r="A203" s="22"/>
      <c r="B203" s="10"/>
      <c r="E203" s="10"/>
      <c r="F203" s="25">
        <v>0.0</v>
      </c>
      <c r="G203" s="29"/>
      <c r="H203" s="27">
        <v>0.0</v>
      </c>
      <c r="I203" s="27">
        <v>0.0</v>
      </c>
      <c r="J203" s="10"/>
    </row>
    <row r="204">
      <c r="A204" s="22"/>
      <c r="B204" s="10"/>
      <c r="E204" s="10"/>
      <c r="F204" s="25">
        <v>0.0</v>
      </c>
      <c r="G204" s="29"/>
      <c r="H204" s="27">
        <v>0.0</v>
      </c>
      <c r="I204" s="27">
        <v>0.0</v>
      </c>
      <c r="J204" s="10"/>
    </row>
    <row r="205">
      <c r="A205" s="22"/>
      <c r="B205" s="10"/>
      <c r="E205" s="10"/>
      <c r="F205" s="25">
        <v>0.0</v>
      </c>
      <c r="G205" s="29"/>
      <c r="H205" s="27">
        <v>0.0</v>
      </c>
      <c r="I205" s="27">
        <v>0.0</v>
      </c>
      <c r="J205" s="10"/>
    </row>
    <row r="206">
      <c r="A206" s="22"/>
      <c r="B206" s="10"/>
      <c r="E206" s="10"/>
      <c r="F206" s="25">
        <v>0.0</v>
      </c>
      <c r="G206" s="29"/>
      <c r="H206" s="27">
        <v>0.0</v>
      </c>
      <c r="I206" s="27">
        <v>0.0</v>
      </c>
      <c r="J206" s="10"/>
    </row>
    <row r="207">
      <c r="A207" s="22"/>
      <c r="B207" s="10"/>
      <c r="E207" s="10"/>
      <c r="F207" s="25">
        <v>0.0</v>
      </c>
      <c r="G207" s="29"/>
      <c r="H207" s="27">
        <v>0.0</v>
      </c>
      <c r="I207" s="27">
        <v>0.0</v>
      </c>
      <c r="J207" s="10"/>
    </row>
    <row r="208">
      <c r="A208" s="22"/>
      <c r="B208" s="10"/>
      <c r="E208" s="10"/>
      <c r="F208" s="25">
        <v>0.0</v>
      </c>
      <c r="G208" s="29"/>
      <c r="H208" s="27">
        <v>0.0</v>
      </c>
      <c r="I208" s="27">
        <v>0.0</v>
      </c>
      <c r="J208" s="10"/>
    </row>
    <row r="209">
      <c r="A209" s="22"/>
      <c r="B209" s="10"/>
      <c r="E209" s="10"/>
      <c r="F209" s="25">
        <v>0.0</v>
      </c>
      <c r="G209" s="29"/>
      <c r="H209" s="27">
        <v>0.0</v>
      </c>
      <c r="I209" s="27">
        <v>0.0</v>
      </c>
      <c r="J209" s="10"/>
    </row>
    <row r="210">
      <c r="A210" s="22"/>
      <c r="B210" s="10"/>
      <c r="E210" s="10"/>
      <c r="F210" s="25">
        <v>0.0</v>
      </c>
      <c r="G210" s="29"/>
      <c r="H210" s="27">
        <v>0.0</v>
      </c>
      <c r="I210" s="27">
        <v>0.0</v>
      </c>
      <c r="J210" s="10"/>
    </row>
    <row r="211">
      <c r="A211" s="22"/>
      <c r="B211" s="10"/>
      <c r="E211" s="10"/>
      <c r="F211" s="25">
        <v>0.0</v>
      </c>
      <c r="G211" s="29"/>
      <c r="H211" s="27">
        <v>0.0</v>
      </c>
      <c r="I211" s="27">
        <v>0.0</v>
      </c>
      <c r="J211" s="10"/>
    </row>
    <row r="212">
      <c r="A212" s="22"/>
      <c r="B212" s="10"/>
      <c r="E212" s="10"/>
      <c r="F212" s="25">
        <v>0.0</v>
      </c>
      <c r="G212" s="29"/>
      <c r="H212" s="27">
        <v>0.0</v>
      </c>
      <c r="I212" s="27">
        <v>0.0</v>
      </c>
      <c r="J212" s="10"/>
    </row>
    <row r="213">
      <c r="A213" s="22"/>
      <c r="B213" s="10"/>
      <c r="E213" s="10"/>
      <c r="F213" s="25">
        <v>0.0</v>
      </c>
      <c r="G213" s="29"/>
      <c r="H213" s="27">
        <v>0.0</v>
      </c>
      <c r="I213" s="27">
        <v>0.0</v>
      </c>
      <c r="J213" s="10"/>
    </row>
    <row r="214">
      <c r="A214" s="22"/>
      <c r="B214" s="10"/>
      <c r="E214" s="10"/>
      <c r="F214" s="25">
        <v>0.0</v>
      </c>
      <c r="G214" s="29"/>
      <c r="H214" s="27">
        <v>0.0</v>
      </c>
      <c r="I214" s="27">
        <v>0.0</v>
      </c>
      <c r="J214" s="10"/>
    </row>
    <row r="215">
      <c r="A215" s="22"/>
      <c r="B215" s="10"/>
      <c r="E215" s="10"/>
      <c r="F215" s="25">
        <v>0.0</v>
      </c>
      <c r="G215" s="29"/>
      <c r="H215" s="27">
        <v>0.0</v>
      </c>
      <c r="I215" s="27">
        <v>0.0</v>
      </c>
      <c r="J215" s="10"/>
    </row>
    <row r="216">
      <c r="A216" s="22"/>
      <c r="B216" s="10"/>
      <c r="E216" s="10"/>
      <c r="F216" s="25">
        <v>0.0</v>
      </c>
      <c r="G216" s="29"/>
      <c r="H216" s="27">
        <v>0.0</v>
      </c>
      <c r="I216" s="27">
        <v>0.0</v>
      </c>
      <c r="J216" s="10"/>
    </row>
    <row r="217">
      <c r="A217" s="22"/>
      <c r="B217" s="10"/>
      <c r="E217" s="10"/>
      <c r="F217" s="25">
        <v>0.0</v>
      </c>
      <c r="G217" s="29"/>
      <c r="H217" s="27">
        <v>0.0</v>
      </c>
      <c r="I217" s="27">
        <v>0.0</v>
      </c>
      <c r="J217" s="10"/>
    </row>
    <row r="218">
      <c r="A218" s="22"/>
      <c r="B218" s="10"/>
      <c r="E218" s="10"/>
      <c r="F218" s="25">
        <v>0.0</v>
      </c>
      <c r="G218" s="29"/>
      <c r="H218" s="27">
        <v>0.0</v>
      </c>
      <c r="I218" s="27">
        <v>0.0</v>
      </c>
      <c r="J218" s="10"/>
    </row>
    <row r="219">
      <c r="A219" s="22"/>
      <c r="B219" s="10"/>
      <c r="E219" s="10"/>
      <c r="F219" s="25">
        <v>0.0</v>
      </c>
      <c r="G219" s="29"/>
      <c r="H219" s="27">
        <v>0.0</v>
      </c>
      <c r="I219" s="27">
        <v>0.0</v>
      </c>
      <c r="J219" s="10"/>
    </row>
    <row r="220">
      <c r="A220" s="22"/>
      <c r="B220" s="10"/>
      <c r="E220" s="10"/>
      <c r="F220" s="25">
        <v>0.0</v>
      </c>
      <c r="G220" s="29"/>
      <c r="H220" s="27">
        <v>0.0</v>
      </c>
      <c r="I220" s="27">
        <v>0.0</v>
      </c>
      <c r="J220" s="10"/>
    </row>
    <row r="221">
      <c r="A221" s="22"/>
      <c r="B221" s="10"/>
      <c r="E221" s="10"/>
      <c r="F221" s="25">
        <v>0.0</v>
      </c>
      <c r="G221" s="29"/>
      <c r="H221" s="27">
        <v>0.0</v>
      </c>
      <c r="I221" s="27">
        <v>0.0</v>
      </c>
      <c r="J221" s="10"/>
    </row>
    <row r="222">
      <c r="A222" s="22"/>
      <c r="B222" s="10"/>
      <c r="E222" s="10"/>
      <c r="F222" s="25">
        <v>0.0</v>
      </c>
      <c r="G222" s="29"/>
      <c r="H222" s="27">
        <v>0.0</v>
      </c>
      <c r="I222" s="27">
        <v>0.0</v>
      </c>
      <c r="J222" s="10"/>
    </row>
    <row r="223">
      <c r="A223" s="22"/>
      <c r="B223" s="10"/>
      <c r="E223" s="10"/>
      <c r="F223" s="25">
        <v>0.0</v>
      </c>
      <c r="G223" s="29"/>
      <c r="H223" s="27">
        <v>0.0</v>
      </c>
      <c r="I223" s="27">
        <v>0.0</v>
      </c>
      <c r="J223" s="10"/>
    </row>
    <row r="224">
      <c r="A224" s="22"/>
      <c r="B224" s="10"/>
      <c r="E224" s="10"/>
      <c r="F224" s="25">
        <v>0.0</v>
      </c>
      <c r="G224" s="29"/>
      <c r="H224" s="27">
        <v>0.0</v>
      </c>
      <c r="I224" s="27">
        <v>0.0</v>
      </c>
      <c r="J224" s="10"/>
    </row>
    <row r="225">
      <c r="A225" s="22"/>
      <c r="B225" s="10"/>
      <c r="E225" s="10"/>
      <c r="F225" s="25">
        <v>0.0</v>
      </c>
      <c r="G225" s="29"/>
      <c r="H225" s="27">
        <v>0.0</v>
      </c>
      <c r="I225" s="27">
        <v>0.0</v>
      </c>
      <c r="J225" s="10"/>
    </row>
    <row r="226">
      <c r="A226" s="22"/>
      <c r="B226" s="10"/>
      <c r="E226" s="10"/>
      <c r="F226" s="25">
        <v>0.0</v>
      </c>
      <c r="G226" s="29"/>
      <c r="H226" s="27">
        <v>0.0</v>
      </c>
      <c r="I226" s="27">
        <v>0.0</v>
      </c>
      <c r="J226" s="10"/>
    </row>
    <row r="227">
      <c r="A227" s="22"/>
      <c r="B227" s="10"/>
      <c r="E227" s="10"/>
      <c r="F227" s="25">
        <v>0.0</v>
      </c>
      <c r="G227" s="29"/>
      <c r="H227" s="27">
        <v>0.0</v>
      </c>
      <c r="I227" s="27">
        <v>0.0</v>
      </c>
      <c r="J227" s="10"/>
    </row>
    <row r="228">
      <c r="A228" s="22"/>
      <c r="B228" s="10"/>
      <c r="E228" s="10"/>
      <c r="F228" s="25">
        <v>0.0</v>
      </c>
      <c r="G228" s="29"/>
      <c r="H228" s="27">
        <v>0.0</v>
      </c>
      <c r="I228" s="27">
        <v>0.0</v>
      </c>
      <c r="J228" s="10"/>
    </row>
    <row r="229">
      <c r="A229" s="22"/>
      <c r="B229" s="10"/>
      <c r="E229" s="10"/>
      <c r="F229" s="25">
        <v>0.0</v>
      </c>
      <c r="G229" s="29"/>
      <c r="H229" s="27">
        <v>0.0</v>
      </c>
      <c r="I229" s="27">
        <v>0.0</v>
      </c>
      <c r="J229" s="10"/>
    </row>
    <row r="230">
      <c r="A230" s="22"/>
      <c r="B230" s="10"/>
      <c r="E230" s="10"/>
      <c r="F230" s="25">
        <v>0.0</v>
      </c>
      <c r="G230" s="29"/>
      <c r="H230" s="27">
        <v>0.0</v>
      </c>
      <c r="I230" s="27">
        <v>0.0</v>
      </c>
      <c r="J230" s="10"/>
    </row>
    <row r="231">
      <c r="A231" s="22"/>
      <c r="B231" s="10"/>
      <c r="E231" s="10"/>
      <c r="F231" s="25">
        <v>0.0</v>
      </c>
      <c r="G231" s="29"/>
      <c r="H231" s="27">
        <v>0.0</v>
      </c>
      <c r="I231" s="27">
        <v>0.0</v>
      </c>
      <c r="J231" s="10"/>
    </row>
    <row r="232">
      <c r="A232" s="22"/>
      <c r="B232" s="10"/>
      <c r="E232" s="10"/>
      <c r="F232" s="25">
        <v>0.0</v>
      </c>
      <c r="G232" s="29"/>
      <c r="H232" s="27">
        <v>0.0</v>
      </c>
      <c r="I232" s="27">
        <v>0.0</v>
      </c>
      <c r="J232" s="10"/>
    </row>
    <row r="233">
      <c r="A233" s="22"/>
      <c r="B233" s="10"/>
      <c r="E233" s="10"/>
      <c r="F233" s="25">
        <v>0.0</v>
      </c>
      <c r="G233" s="29"/>
      <c r="H233" s="27">
        <v>0.0</v>
      </c>
      <c r="I233" s="27">
        <v>0.0</v>
      </c>
      <c r="J233" s="10"/>
    </row>
    <row r="234">
      <c r="A234" s="22"/>
      <c r="B234" s="10"/>
      <c r="E234" s="10"/>
      <c r="F234" s="25">
        <v>0.0</v>
      </c>
      <c r="G234" s="29"/>
      <c r="H234" s="27">
        <v>0.0</v>
      </c>
      <c r="I234" s="27">
        <v>0.0</v>
      </c>
      <c r="J234" s="10"/>
    </row>
    <row r="235">
      <c r="A235" s="22"/>
      <c r="B235" s="10"/>
      <c r="E235" s="10"/>
      <c r="F235" s="25">
        <v>0.0</v>
      </c>
      <c r="G235" s="29"/>
      <c r="H235" s="27">
        <v>0.0</v>
      </c>
      <c r="I235" s="27">
        <v>0.0</v>
      </c>
      <c r="J235" s="10"/>
    </row>
    <row r="236">
      <c r="A236" s="22"/>
      <c r="B236" s="10"/>
      <c r="E236" s="10"/>
      <c r="F236" s="25">
        <v>0.0</v>
      </c>
      <c r="G236" s="29"/>
      <c r="H236" s="27">
        <v>0.0</v>
      </c>
      <c r="I236" s="27">
        <v>0.0</v>
      </c>
      <c r="J236" s="10"/>
    </row>
    <row r="237">
      <c r="A237" s="22"/>
      <c r="B237" s="10"/>
      <c r="E237" s="10"/>
      <c r="F237" s="25">
        <v>0.0</v>
      </c>
      <c r="G237" s="29"/>
      <c r="H237" s="27">
        <v>0.0</v>
      </c>
      <c r="I237" s="27">
        <v>0.0</v>
      </c>
      <c r="J237" s="10"/>
    </row>
    <row r="238">
      <c r="A238" s="22"/>
      <c r="B238" s="10"/>
      <c r="E238" s="10"/>
      <c r="F238" s="25">
        <v>0.0</v>
      </c>
      <c r="G238" s="29"/>
      <c r="H238" s="27">
        <v>0.0</v>
      </c>
      <c r="I238" s="27">
        <v>0.0</v>
      </c>
      <c r="J238" s="10"/>
    </row>
    <row r="239">
      <c r="A239" s="22"/>
      <c r="B239" s="10"/>
      <c r="E239" s="10"/>
      <c r="F239" s="25">
        <v>0.0</v>
      </c>
      <c r="G239" s="29"/>
      <c r="H239" s="27">
        <v>0.0</v>
      </c>
      <c r="I239" s="27">
        <v>0.0</v>
      </c>
      <c r="J239" s="10"/>
    </row>
    <row r="240">
      <c r="A240" s="22"/>
      <c r="B240" s="10"/>
      <c r="E240" s="10"/>
      <c r="F240" s="25">
        <v>0.0</v>
      </c>
      <c r="G240" s="29"/>
      <c r="H240" s="27">
        <v>0.0</v>
      </c>
      <c r="I240" s="27">
        <v>0.0</v>
      </c>
      <c r="J240" s="10"/>
    </row>
    <row r="241">
      <c r="A241" s="22"/>
      <c r="B241" s="10"/>
      <c r="E241" s="10"/>
      <c r="F241" s="25">
        <v>0.0</v>
      </c>
      <c r="G241" s="29"/>
      <c r="H241" s="27">
        <v>0.0</v>
      </c>
      <c r="I241" s="27">
        <v>0.0</v>
      </c>
      <c r="J241" s="10"/>
    </row>
    <row r="242">
      <c r="A242" s="22"/>
      <c r="B242" s="10"/>
      <c r="E242" s="10"/>
      <c r="F242" s="25">
        <v>0.0</v>
      </c>
      <c r="G242" s="29"/>
      <c r="H242" s="27">
        <v>0.0</v>
      </c>
      <c r="I242" s="27">
        <v>0.0</v>
      </c>
      <c r="J242" s="10"/>
    </row>
    <row r="243">
      <c r="A243" s="22"/>
      <c r="B243" s="10"/>
      <c r="E243" s="10"/>
      <c r="F243" s="25">
        <v>0.0</v>
      </c>
      <c r="G243" s="29"/>
      <c r="H243" s="27">
        <v>0.0</v>
      </c>
      <c r="I243" s="27">
        <v>0.0</v>
      </c>
      <c r="J243" s="10"/>
    </row>
    <row r="244">
      <c r="A244" s="22"/>
      <c r="B244" s="10"/>
      <c r="E244" s="10"/>
      <c r="F244" s="25">
        <v>0.0</v>
      </c>
      <c r="G244" s="29"/>
      <c r="H244" s="27">
        <v>0.0</v>
      </c>
      <c r="I244" s="27">
        <v>0.0</v>
      </c>
      <c r="J244" s="10"/>
    </row>
    <row r="245">
      <c r="A245" s="22"/>
      <c r="B245" s="10"/>
      <c r="E245" s="10"/>
      <c r="F245" s="25">
        <v>0.0</v>
      </c>
      <c r="G245" s="29"/>
      <c r="H245" s="27">
        <v>0.0</v>
      </c>
      <c r="I245" s="27">
        <v>0.0</v>
      </c>
      <c r="J245" s="10"/>
    </row>
    <row r="246">
      <c r="A246" s="22"/>
      <c r="B246" s="10"/>
      <c r="E246" s="10"/>
      <c r="F246" s="25">
        <v>0.0</v>
      </c>
      <c r="G246" s="29"/>
      <c r="H246" s="27">
        <v>0.0</v>
      </c>
      <c r="I246" s="27">
        <v>0.0</v>
      </c>
      <c r="J246" s="10"/>
    </row>
    <row r="247">
      <c r="A247" s="22"/>
      <c r="B247" s="10"/>
      <c r="E247" s="10"/>
      <c r="F247" s="25">
        <v>0.0</v>
      </c>
      <c r="G247" s="29"/>
      <c r="H247" s="27">
        <v>0.0</v>
      </c>
      <c r="I247" s="27">
        <v>0.0</v>
      </c>
      <c r="J247" s="10"/>
    </row>
    <row r="248">
      <c r="A248" s="22"/>
      <c r="B248" s="10"/>
      <c r="E248" s="10"/>
      <c r="F248" s="25">
        <v>0.0</v>
      </c>
      <c r="G248" s="29"/>
      <c r="H248" s="27">
        <v>0.0</v>
      </c>
      <c r="I248" s="27">
        <v>0.0</v>
      </c>
      <c r="J248" s="10"/>
    </row>
    <row r="249">
      <c r="A249" s="22"/>
      <c r="B249" s="10"/>
      <c r="E249" s="10"/>
      <c r="F249" s="25">
        <v>0.0</v>
      </c>
      <c r="G249" s="29"/>
      <c r="H249" s="27">
        <v>0.0</v>
      </c>
      <c r="I249" s="27">
        <v>0.0</v>
      </c>
      <c r="J249" s="10"/>
    </row>
    <row r="250">
      <c r="A250" s="22"/>
      <c r="B250" s="10"/>
      <c r="E250" s="10"/>
      <c r="F250" s="25">
        <v>0.0</v>
      </c>
      <c r="G250" s="29"/>
      <c r="H250" s="27">
        <v>0.0</v>
      </c>
      <c r="I250" s="27">
        <v>0.0</v>
      </c>
      <c r="J250" s="10"/>
    </row>
    <row r="251">
      <c r="A251" s="22"/>
      <c r="B251" s="10"/>
      <c r="E251" s="10"/>
      <c r="F251" s="25">
        <v>0.0</v>
      </c>
      <c r="G251" s="29"/>
      <c r="H251" s="27">
        <v>0.0</v>
      </c>
      <c r="I251" s="27">
        <v>0.0</v>
      </c>
      <c r="J251" s="10"/>
    </row>
    <row r="252">
      <c r="A252" s="22"/>
      <c r="B252" s="10"/>
      <c r="E252" s="10"/>
      <c r="F252" s="25">
        <v>0.0</v>
      </c>
      <c r="G252" s="29"/>
      <c r="H252" s="27">
        <v>0.0</v>
      </c>
      <c r="I252" s="27">
        <v>0.0</v>
      </c>
      <c r="J252" s="10"/>
    </row>
    <row r="253">
      <c r="A253" s="22"/>
      <c r="B253" s="10"/>
      <c r="E253" s="10"/>
      <c r="F253" s="25">
        <v>0.0</v>
      </c>
      <c r="G253" s="29"/>
      <c r="H253" s="27">
        <v>0.0</v>
      </c>
      <c r="I253" s="27">
        <v>0.0</v>
      </c>
      <c r="J253" s="10"/>
    </row>
    <row r="254">
      <c r="A254" s="22"/>
      <c r="B254" s="10"/>
      <c r="E254" s="10"/>
      <c r="F254" s="25">
        <v>0.0</v>
      </c>
      <c r="G254" s="29"/>
      <c r="H254" s="27">
        <v>0.0</v>
      </c>
      <c r="I254" s="27">
        <v>0.0</v>
      </c>
      <c r="J254" s="10"/>
    </row>
    <row r="255">
      <c r="A255" s="22"/>
      <c r="B255" s="10"/>
      <c r="E255" s="10"/>
      <c r="F255" s="25">
        <v>0.0</v>
      </c>
      <c r="G255" s="29"/>
      <c r="H255" s="27">
        <v>0.0</v>
      </c>
      <c r="I255" s="27">
        <v>0.0</v>
      </c>
      <c r="J255" s="10"/>
    </row>
    <row r="256">
      <c r="A256" s="22"/>
      <c r="B256" s="10"/>
      <c r="E256" s="10"/>
      <c r="F256" s="25">
        <v>0.0</v>
      </c>
      <c r="G256" s="29"/>
      <c r="H256" s="27">
        <v>0.0</v>
      </c>
      <c r="I256" s="27">
        <v>0.0</v>
      </c>
      <c r="J256" s="10"/>
    </row>
    <row r="257">
      <c r="A257" s="22"/>
      <c r="B257" s="10"/>
      <c r="E257" s="10"/>
      <c r="F257" s="25">
        <v>0.0</v>
      </c>
      <c r="G257" s="29"/>
      <c r="H257" s="27">
        <v>0.0</v>
      </c>
      <c r="I257" s="27">
        <v>0.0</v>
      </c>
      <c r="J257" s="10"/>
    </row>
    <row r="258">
      <c r="A258" s="22"/>
      <c r="B258" s="10"/>
      <c r="E258" s="10"/>
      <c r="F258" s="25">
        <v>0.0</v>
      </c>
      <c r="G258" s="29"/>
      <c r="H258" s="27">
        <v>0.0</v>
      </c>
      <c r="I258" s="27">
        <v>0.0</v>
      </c>
      <c r="J258" s="10"/>
    </row>
    <row r="259">
      <c r="A259" s="22"/>
      <c r="B259" s="10"/>
      <c r="E259" s="10"/>
      <c r="F259" s="25">
        <v>0.0</v>
      </c>
      <c r="G259" s="29"/>
      <c r="H259" s="27">
        <v>0.0</v>
      </c>
      <c r="I259" s="27">
        <v>0.0</v>
      </c>
      <c r="J259" s="10"/>
    </row>
    <row r="260">
      <c r="A260" s="22"/>
      <c r="B260" s="10"/>
      <c r="E260" s="10"/>
      <c r="F260" s="25">
        <v>0.0</v>
      </c>
      <c r="G260" s="29"/>
      <c r="H260" s="27">
        <v>0.0</v>
      </c>
      <c r="I260" s="27">
        <v>0.0</v>
      </c>
      <c r="J260" s="10"/>
    </row>
    <row r="261">
      <c r="A261" s="22"/>
      <c r="B261" s="10"/>
      <c r="E261" s="10"/>
      <c r="F261" s="25">
        <v>0.0</v>
      </c>
      <c r="G261" s="29"/>
      <c r="H261" s="27">
        <v>0.0</v>
      </c>
      <c r="I261" s="27">
        <v>0.0</v>
      </c>
      <c r="J261" s="10"/>
    </row>
    <row r="262">
      <c r="A262" s="22"/>
      <c r="B262" s="10"/>
      <c r="E262" s="10"/>
      <c r="F262" s="25">
        <v>0.0</v>
      </c>
      <c r="G262" s="29"/>
      <c r="H262" s="27">
        <v>0.0</v>
      </c>
      <c r="I262" s="27">
        <v>0.0</v>
      </c>
      <c r="J262" s="10"/>
    </row>
    <row r="263">
      <c r="A263" s="22"/>
      <c r="B263" s="10"/>
      <c r="E263" s="10"/>
      <c r="F263" s="25">
        <v>0.0</v>
      </c>
      <c r="G263" s="29"/>
      <c r="H263" s="27">
        <v>0.0</v>
      </c>
      <c r="I263" s="27">
        <v>0.0</v>
      </c>
      <c r="J263" s="10"/>
    </row>
    <row r="264">
      <c r="A264" s="22"/>
      <c r="B264" s="10"/>
      <c r="E264" s="10"/>
      <c r="F264" s="25">
        <v>0.0</v>
      </c>
      <c r="G264" s="29"/>
      <c r="H264" s="27">
        <v>0.0</v>
      </c>
      <c r="I264" s="27">
        <v>0.0</v>
      </c>
      <c r="J264" s="10"/>
    </row>
    <row r="265">
      <c r="A265" s="22"/>
      <c r="B265" s="10"/>
      <c r="E265" s="10"/>
      <c r="F265" s="25">
        <v>0.0</v>
      </c>
      <c r="G265" s="29"/>
      <c r="H265" s="27">
        <v>0.0</v>
      </c>
      <c r="I265" s="27">
        <v>0.0</v>
      </c>
      <c r="J265" s="10"/>
    </row>
    <row r="266">
      <c r="A266" s="22"/>
      <c r="B266" s="10"/>
      <c r="E266" s="10"/>
      <c r="F266" s="25">
        <v>0.0</v>
      </c>
      <c r="G266" s="29"/>
      <c r="H266" s="27">
        <v>0.0</v>
      </c>
      <c r="I266" s="27">
        <v>0.0</v>
      </c>
      <c r="J266" s="10"/>
    </row>
    <row r="267">
      <c r="A267" s="22"/>
      <c r="B267" s="10"/>
      <c r="E267" s="10"/>
      <c r="F267" s="25">
        <v>0.0</v>
      </c>
      <c r="G267" s="29"/>
      <c r="H267" s="27">
        <v>0.0</v>
      </c>
      <c r="I267" s="27">
        <v>0.0</v>
      </c>
      <c r="J267" s="10"/>
    </row>
    <row r="268">
      <c r="A268" s="22"/>
      <c r="B268" s="10"/>
      <c r="E268" s="10"/>
      <c r="F268" s="25">
        <v>0.0</v>
      </c>
      <c r="G268" s="29"/>
      <c r="H268" s="27">
        <v>0.0</v>
      </c>
      <c r="I268" s="27">
        <v>0.0</v>
      </c>
      <c r="J268" s="10"/>
    </row>
    <row r="269">
      <c r="A269" s="22"/>
      <c r="B269" s="10"/>
      <c r="E269" s="10"/>
      <c r="F269" s="25">
        <v>0.0</v>
      </c>
      <c r="G269" s="29"/>
      <c r="H269" s="27">
        <v>0.0</v>
      </c>
      <c r="I269" s="27">
        <v>0.0</v>
      </c>
      <c r="J269" s="10"/>
    </row>
    <row r="270">
      <c r="A270" s="22"/>
      <c r="B270" s="10"/>
      <c r="E270" s="10"/>
      <c r="F270" s="25">
        <v>0.0</v>
      </c>
      <c r="G270" s="29"/>
      <c r="H270" s="27">
        <v>0.0</v>
      </c>
      <c r="I270" s="27">
        <v>0.0</v>
      </c>
      <c r="J270" s="10"/>
    </row>
    <row r="271">
      <c r="A271" s="22"/>
      <c r="B271" s="10"/>
      <c r="E271" s="10"/>
      <c r="F271" s="25">
        <v>0.0</v>
      </c>
      <c r="G271" s="29"/>
      <c r="H271" s="27">
        <v>0.0</v>
      </c>
      <c r="I271" s="27">
        <v>0.0</v>
      </c>
      <c r="J271" s="10"/>
    </row>
    <row r="272">
      <c r="A272" s="22"/>
      <c r="B272" s="10"/>
      <c r="E272" s="10"/>
      <c r="F272" s="25">
        <v>0.0</v>
      </c>
      <c r="G272" s="29"/>
      <c r="H272" s="27">
        <v>0.0</v>
      </c>
      <c r="I272" s="27">
        <v>0.0</v>
      </c>
      <c r="J272" s="10"/>
    </row>
    <row r="273">
      <c r="A273" s="22"/>
      <c r="B273" s="10"/>
      <c r="E273" s="10"/>
      <c r="F273" s="25">
        <v>0.0</v>
      </c>
      <c r="G273" s="29"/>
      <c r="H273" s="27">
        <v>0.0</v>
      </c>
      <c r="I273" s="27">
        <v>0.0</v>
      </c>
      <c r="J273" s="10"/>
    </row>
    <row r="274">
      <c r="A274" s="22"/>
      <c r="B274" s="10"/>
      <c r="E274" s="10"/>
      <c r="F274" s="25">
        <v>0.0</v>
      </c>
      <c r="G274" s="29"/>
      <c r="H274" s="27">
        <v>0.0</v>
      </c>
      <c r="I274" s="27">
        <v>0.0</v>
      </c>
      <c r="J274" s="10"/>
    </row>
    <row r="275">
      <c r="A275" s="22"/>
      <c r="B275" s="10"/>
      <c r="E275" s="10"/>
      <c r="F275" s="25">
        <v>0.0</v>
      </c>
      <c r="G275" s="29"/>
      <c r="H275" s="27">
        <v>0.0</v>
      </c>
      <c r="I275" s="27">
        <v>0.0</v>
      </c>
      <c r="J275" s="10"/>
    </row>
    <row r="276">
      <c r="A276" s="22"/>
      <c r="B276" s="10"/>
      <c r="E276" s="10"/>
      <c r="F276" s="25">
        <v>0.0</v>
      </c>
      <c r="G276" s="29"/>
      <c r="H276" s="27">
        <v>0.0</v>
      </c>
      <c r="I276" s="27">
        <v>0.0</v>
      </c>
      <c r="J276" s="10"/>
    </row>
    <row r="277">
      <c r="A277" s="22"/>
      <c r="B277" s="10"/>
      <c r="E277" s="10"/>
      <c r="F277" s="25">
        <v>0.0</v>
      </c>
      <c r="G277" s="29"/>
      <c r="H277" s="27">
        <v>0.0</v>
      </c>
      <c r="I277" s="27">
        <v>0.0</v>
      </c>
      <c r="J277" s="10"/>
    </row>
    <row r="278">
      <c r="A278" s="22"/>
      <c r="B278" s="10"/>
      <c r="E278" s="10"/>
      <c r="F278" s="25">
        <v>0.0</v>
      </c>
      <c r="G278" s="29"/>
      <c r="H278" s="27">
        <v>0.0</v>
      </c>
      <c r="I278" s="27">
        <v>0.0</v>
      </c>
      <c r="J278" s="10"/>
    </row>
    <row r="279">
      <c r="A279" s="22"/>
      <c r="B279" s="10"/>
      <c r="E279" s="10"/>
      <c r="F279" s="25">
        <v>0.0</v>
      </c>
      <c r="G279" s="29"/>
      <c r="H279" s="27">
        <v>0.0</v>
      </c>
      <c r="I279" s="27">
        <v>0.0</v>
      </c>
      <c r="J279" s="10"/>
    </row>
    <row r="280">
      <c r="A280" s="22"/>
      <c r="B280" s="10"/>
      <c r="E280" s="10"/>
      <c r="F280" s="25">
        <v>0.0</v>
      </c>
      <c r="G280" s="29"/>
      <c r="H280" s="27">
        <v>0.0</v>
      </c>
      <c r="I280" s="27">
        <v>0.0</v>
      </c>
      <c r="J280" s="10"/>
    </row>
    <row r="281">
      <c r="A281" s="22"/>
      <c r="B281" s="10"/>
      <c r="E281" s="10"/>
      <c r="F281" s="25">
        <v>0.0</v>
      </c>
      <c r="G281" s="29"/>
      <c r="H281" s="27">
        <v>0.0</v>
      </c>
      <c r="I281" s="27">
        <v>0.0</v>
      </c>
      <c r="J281" s="10"/>
    </row>
    <row r="282">
      <c r="A282" s="22"/>
      <c r="B282" s="10"/>
      <c r="E282" s="10"/>
      <c r="F282" s="25">
        <v>0.0</v>
      </c>
      <c r="G282" s="29"/>
      <c r="H282" s="27">
        <v>0.0</v>
      </c>
      <c r="I282" s="27">
        <v>0.0</v>
      </c>
      <c r="J282" s="10"/>
    </row>
    <row r="283">
      <c r="A283" s="22"/>
      <c r="B283" s="10"/>
      <c r="E283" s="10"/>
      <c r="F283" s="25">
        <v>0.0</v>
      </c>
      <c r="G283" s="29"/>
      <c r="H283" s="27">
        <v>0.0</v>
      </c>
      <c r="I283" s="27">
        <v>0.0</v>
      </c>
      <c r="J283" s="10"/>
    </row>
    <row r="284">
      <c r="A284" s="22"/>
      <c r="B284" s="10"/>
      <c r="E284" s="10"/>
      <c r="F284" s="25">
        <v>0.0</v>
      </c>
      <c r="G284" s="29"/>
      <c r="H284" s="27">
        <v>0.0</v>
      </c>
      <c r="I284" s="27">
        <v>0.0</v>
      </c>
      <c r="J284" s="10"/>
    </row>
    <row r="285">
      <c r="A285" s="22"/>
      <c r="B285" s="10"/>
      <c r="E285" s="10"/>
      <c r="F285" s="25">
        <v>0.0</v>
      </c>
      <c r="G285" s="29"/>
      <c r="H285" s="27">
        <v>0.0</v>
      </c>
      <c r="I285" s="27">
        <v>0.0</v>
      </c>
      <c r="J285" s="10"/>
    </row>
    <row r="286">
      <c r="A286" s="22"/>
      <c r="B286" s="10"/>
      <c r="E286" s="10"/>
      <c r="F286" s="25">
        <v>0.0</v>
      </c>
      <c r="G286" s="29"/>
      <c r="H286" s="27">
        <v>0.0</v>
      </c>
      <c r="I286" s="27">
        <v>0.0</v>
      </c>
      <c r="J286" s="10"/>
    </row>
    <row r="287">
      <c r="A287" s="22"/>
      <c r="B287" s="10"/>
      <c r="E287" s="10"/>
      <c r="F287" s="25">
        <v>0.0</v>
      </c>
      <c r="G287" s="29"/>
      <c r="H287" s="27">
        <v>0.0</v>
      </c>
      <c r="I287" s="27">
        <v>0.0</v>
      </c>
      <c r="J287" s="10"/>
    </row>
    <row r="288">
      <c r="A288" s="22"/>
      <c r="B288" s="10"/>
      <c r="E288" s="10"/>
      <c r="F288" s="25">
        <v>0.0</v>
      </c>
      <c r="G288" s="29"/>
      <c r="H288" s="27">
        <v>0.0</v>
      </c>
      <c r="I288" s="27">
        <v>0.0</v>
      </c>
      <c r="J288" s="10"/>
    </row>
    <row r="289">
      <c r="A289" s="22"/>
      <c r="B289" s="10"/>
      <c r="E289" s="10"/>
      <c r="F289" s="25">
        <v>0.0</v>
      </c>
      <c r="G289" s="29"/>
      <c r="H289" s="27">
        <v>0.0</v>
      </c>
      <c r="I289" s="27">
        <v>0.0</v>
      </c>
      <c r="J289" s="10"/>
    </row>
    <row r="290">
      <c r="A290" s="22"/>
      <c r="B290" s="10"/>
      <c r="E290" s="10"/>
      <c r="F290" s="25">
        <v>0.0</v>
      </c>
      <c r="G290" s="29"/>
      <c r="H290" s="27">
        <v>0.0</v>
      </c>
      <c r="I290" s="27">
        <v>0.0</v>
      </c>
      <c r="J290" s="10"/>
    </row>
    <row r="291">
      <c r="A291" s="22"/>
      <c r="B291" s="10"/>
      <c r="E291" s="10"/>
      <c r="F291" s="25">
        <v>0.0</v>
      </c>
      <c r="G291" s="29"/>
      <c r="H291" s="27">
        <v>0.0</v>
      </c>
      <c r="I291" s="27">
        <v>0.0</v>
      </c>
      <c r="J291" s="10"/>
    </row>
    <row r="292">
      <c r="A292" s="22"/>
      <c r="B292" s="10"/>
      <c r="E292" s="10"/>
      <c r="F292" s="25">
        <v>0.0</v>
      </c>
      <c r="G292" s="29"/>
      <c r="H292" s="27">
        <v>0.0</v>
      </c>
      <c r="I292" s="27">
        <v>0.0</v>
      </c>
      <c r="J292" s="10"/>
    </row>
    <row r="293">
      <c r="A293" s="22"/>
      <c r="B293" s="10"/>
      <c r="E293" s="10"/>
      <c r="F293" s="25">
        <v>0.0</v>
      </c>
      <c r="G293" s="29"/>
      <c r="H293" s="27">
        <v>0.0</v>
      </c>
      <c r="I293" s="27">
        <v>0.0</v>
      </c>
      <c r="J293" s="10"/>
    </row>
    <row r="294">
      <c r="A294" s="22"/>
      <c r="B294" s="10"/>
      <c r="E294" s="10"/>
      <c r="F294" s="25">
        <v>0.0</v>
      </c>
      <c r="G294" s="29"/>
      <c r="H294" s="27">
        <v>0.0</v>
      </c>
      <c r="I294" s="27">
        <v>0.0</v>
      </c>
      <c r="J294" s="10"/>
    </row>
    <row r="295">
      <c r="A295" s="22"/>
      <c r="B295" s="10"/>
      <c r="E295" s="10"/>
      <c r="F295" s="25">
        <v>0.0</v>
      </c>
      <c r="G295" s="29"/>
      <c r="H295" s="27">
        <v>0.0</v>
      </c>
      <c r="I295" s="27">
        <v>0.0</v>
      </c>
      <c r="J295" s="10"/>
    </row>
    <row r="296">
      <c r="A296" s="22"/>
      <c r="B296" s="10"/>
      <c r="E296" s="10"/>
      <c r="F296" s="25">
        <v>0.0</v>
      </c>
      <c r="G296" s="29"/>
      <c r="H296" s="27">
        <v>0.0</v>
      </c>
      <c r="I296" s="27">
        <v>0.0</v>
      </c>
      <c r="J296" s="10"/>
    </row>
    <row r="297">
      <c r="A297" s="22"/>
      <c r="B297" s="10"/>
      <c r="E297" s="10"/>
      <c r="F297" s="25">
        <v>0.0</v>
      </c>
      <c r="G297" s="29"/>
      <c r="H297" s="27">
        <v>0.0</v>
      </c>
      <c r="I297" s="27">
        <v>0.0</v>
      </c>
      <c r="J297" s="10"/>
    </row>
    <row r="298">
      <c r="A298" s="22"/>
      <c r="B298" s="10"/>
      <c r="E298" s="10"/>
      <c r="F298" s="25">
        <v>0.0</v>
      </c>
      <c r="G298" s="29"/>
      <c r="H298" s="27">
        <v>0.0</v>
      </c>
      <c r="I298" s="27">
        <v>0.0</v>
      </c>
      <c r="J298" s="10"/>
    </row>
    <row r="299">
      <c r="A299" s="22"/>
      <c r="B299" s="10"/>
      <c r="E299" s="10"/>
      <c r="F299" s="25">
        <v>0.0</v>
      </c>
      <c r="G299" s="29"/>
      <c r="H299" s="27">
        <v>0.0</v>
      </c>
      <c r="I299" s="27">
        <v>0.0</v>
      </c>
      <c r="J299" s="10"/>
    </row>
    <row r="300">
      <c r="A300" s="22"/>
      <c r="B300" s="10"/>
      <c r="E300" s="10"/>
      <c r="F300" s="25">
        <v>0.0</v>
      </c>
      <c r="G300" s="29"/>
      <c r="H300" s="27">
        <v>0.0</v>
      </c>
      <c r="I300" s="27">
        <v>0.0</v>
      </c>
      <c r="J300" s="10"/>
    </row>
    <row r="301">
      <c r="A301" s="22"/>
      <c r="B301" s="10"/>
      <c r="E301" s="10"/>
      <c r="F301" s="25">
        <v>0.0</v>
      </c>
      <c r="G301" s="29"/>
      <c r="H301" s="27">
        <v>0.0</v>
      </c>
      <c r="I301" s="27">
        <v>0.0</v>
      </c>
      <c r="J301" s="10"/>
    </row>
    <row r="302">
      <c r="A302" s="22"/>
      <c r="B302" s="10"/>
      <c r="E302" s="10"/>
      <c r="F302" s="25">
        <v>0.0</v>
      </c>
      <c r="G302" s="29"/>
      <c r="H302" s="27">
        <v>0.0</v>
      </c>
      <c r="I302" s="27">
        <v>0.0</v>
      </c>
      <c r="J302" s="10"/>
    </row>
    <row r="303">
      <c r="A303" s="22"/>
      <c r="B303" s="10"/>
      <c r="E303" s="10"/>
      <c r="F303" s="25">
        <v>0.0</v>
      </c>
      <c r="G303" s="29"/>
      <c r="H303" s="27">
        <v>0.0</v>
      </c>
      <c r="I303" s="27">
        <v>0.0</v>
      </c>
      <c r="J303" s="10"/>
    </row>
    <row r="304">
      <c r="A304" s="22"/>
      <c r="B304" s="10"/>
      <c r="E304" s="10"/>
      <c r="F304" s="25">
        <v>0.0</v>
      </c>
      <c r="G304" s="29"/>
      <c r="H304" s="27">
        <v>0.0</v>
      </c>
      <c r="I304" s="27">
        <v>0.0</v>
      </c>
      <c r="J304" s="10"/>
    </row>
    <row r="305">
      <c r="A305" s="22"/>
      <c r="B305" s="10"/>
      <c r="E305" s="10"/>
      <c r="F305" s="25">
        <v>0.0</v>
      </c>
      <c r="G305" s="29"/>
      <c r="H305" s="27">
        <v>0.0</v>
      </c>
      <c r="I305" s="27">
        <v>0.0</v>
      </c>
      <c r="J305" s="10"/>
    </row>
    <row r="306">
      <c r="A306" s="22"/>
      <c r="B306" s="10"/>
      <c r="E306" s="10"/>
      <c r="F306" s="25">
        <v>0.0</v>
      </c>
      <c r="G306" s="29"/>
      <c r="H306" s="27">
        <v>0.0</v>
      </c>
      <c r="I306" s="27">
        <v>0.0</v>
      </c>
      <c r="J306" s="10"/>
    </row>
    <row r="307">
      <c r="A307" s="22"/>
      <c r="B307" s="10"/>
      <c r="E307" s="10"/>
      <c r="F307" s="25">
        <v>0.0</v>
      </c>
      <c r="G307" s="29"/>
      <c r="H307" s="27">
        <v>0.0</v>
      </c>
      <c r="I307" s="27">
        <v>0.0</v>
      </c>
      <c r="J307" s="10"/>
    </row>
    <row r="308">
      <c r="A308" s="22"/>
      <c r="B308" s="10"/>
      <c r="E308" s="10"/>
      <c r="F308" s="25">
        <v>0.0</v>
      </c>
      <c r="G308" s="29"/>
      <c r="H308" s="27">
        <v>0.0</v>
      </c>
      <c r="I308" s="27">
        <v>0.0</v>
      </c>
      <c r="J308" s="10"/>
    </row>
    <row r="309">
      <c r="A309" s="22"/>
      <c r="B309" s="10"/>
      <c r="E309" s="10"/>
      <c r="F309" s="25">
        <v>0.0</v>
      </c>
      <c r="G309" s="29"/>
      <c r="H309" s="27">
        <v>0.0</v>
      </c>
      <c r="I309" s="27">
        <v>0.0</v>
      </c>
      <c r="J309" s="10"/>
    </row>
    <row r="310">
      <c r="A310" s="22"/>
      <c r="B310" s="10"/>
      <c r="E310" s="10"/>
      <c r="F310" s="25">
        <v>0.0</v>
      </c>
      <c r="G310" s="29"/>
      <c r="H310" s="27">
        <v>0.0</v>
      </c>
      <c r="I310" s="27">
        <v>0.0</v>
      </c>
      <c r="J310" s="10"/>
    </row>
    <row r="311">
      <c r="A311" s="22"/>
      <c r="B311" s="10"/>
      <c r="E311" s="10"/>
      <c r="F311" s="25">
        <v>0.0</v>
      </c>
      <c r="G311" s="29"/>
      <c r="H311" s="27">
        <v>0.0</v>
      </c>
      <c r="I311" s="27">
        <v>0.0</v>
      </c>
      <c r="J311" s="10"/>
    </row>
    <row r="312">
      <c r="A312" s="22"/>
      <c r="B312" s="10"/>
      <c r="E312" s="10"/>
      <c r="F312" s="25">
        <v>0.0</v>
      </c>
      <c r="G312" s="29"/>
      <c r="H312" s="27">
        <v>0.0</v>
      </c>
      <c r="I312" s="27">
        <v>0.0</v>
      </c>
      <c r="J312" s="10"/>
    </row>
    <row r="313">
      <c r="A313" s="22"/>
      <c r="B313" s="10"/>
      <c r="E313" s="10"/>
      <c r="F313" s="25">
        <v>0.0</v>
      </c>
      <c r="G313" s="29"/>
      <c r="H313" s="27">
        <v>0.0</v>
      </c>
      <c r="I313" s="27">
        <v>0.0</v>
      </c>
      <c r="J313" s="10"/>
    </row>
    <row r="314">
      <c r="A314" s="22"/>
      <c r="B314" s="10"/>
      <c r="E314" s="10"/>
      <c r="F314" s="25">
        <v>0.0</v>
      </c>
      <c r="G314" s="29"/>
      <c r="H314" s="27">
        <v>0.0</v>
      </c>
      <c r="I314" s="27">
        <v>0.0</v>
      </c>
      <c r="J314" s="10"/>
    </row>
    <row r="315">
      <c r="A315" s="22"/>
      <c r="B315" s="10"/>
      <c r="E315" s="10"/>
      <c r="F315" s="25">
        <v>0.0</v>
      </c>
      <c r="G315" s="29"/>
      <c r="H315" s="27">
        <v>0.0</v>
      </c>
      <c r="I315" s="27">
        <v>0.0</v>
      </c>
      <c r="J315" s="10"/>
    </row>
    <row r="316">
      <c r="A316" s="22"/>
      <c r="B316" s="10"/>
      <c r="E316" s="10"/>
      <c r="F316" s="25">
        <v>0.0</v>
      </c>
      <c r="G316" s="29"/>
      <c r="H316" s="27">
        <v>0.0</v>
      </c>
      <c r="I316" s="27">
        <v>0.0</v>
      </c>
      <c r="J316" s="10"/>
    </row>
    <row r="317">
      <c r="A317" s="22"/>
      <c r="B317" s="10"/>
      <c r="E317" s="10"/>
      <c r="F317" s="25">
        <v>0.0</v>
      </c>
      <c r="G317" s="29"/>
      <c r="H317" s="27">
        <v>0.0</v>
      </c>
      <c r="I317" s="27">
        <v>0.0</v>
      </c>
      <c r="J317" s="10"/>
    </row>
    <row r="318">
      <c r="A318" s="22"/>
      <c r="B318" s="10"/>
      <c r="E318" s="10"/>
      <c r="F318" s="25">
        <v>0.0</v>
      </c>
      <c r="G318" s="29"/>
      <c r="H318" s="27">
        <v>0.0</v>
      </c>
      <c r="I318" s="27">
        <v>0.0</v>
      </c>
      <c r="J318" s="10"/>
    </row>
    <row r="319">
      <c r="A319" s="22"/>
      <c r="B319" s="10"/>
      <c r="E319" s="10"/>
      <c r="F319" s="25">
        <v>0.0</v>
      </c>
      <c r="G319" s="29"/>
      <c r="H319" s="27">
        <v>0.0</v>
      </c>
      <c r="I319" s="27">
        <v>0.0</v>
      </c>
      <c r="J319" s="10"/>
    </row>
    <row r="320">
      <c r="A320" s="22"/>
      <c r="B320" s="10"/>
      <c r="E320" s="10"/>
      <c r="F320" s="25">
        <v>0.0</v>
      </c>
      <c r="G320" s="29"/>
      <c r="H320" s="27">
        <v>0.0</v>
      </c>
      <c r="I320" s="27">
        <v>0.0</v>
      </c>
      <c r="J320" s="10"/>
    </row>
    <row r="321">
      <c r="A321" s="22"/>
      <c r="B321" s="10"/>
      <c r="E321" s="10"/>
      <c r="F321" s="25">
        <v>0.0</v>
      </c>
      <c r="G321" s="29"/>
      <c r="H321" s="27">
        <v>0.0</v>
      </c>
      <c r="I321" s="27">
        <v>0.0</v>
      </c>
      <c r="J321" s="10"/>
    </row>
    <row r="322">
      <c r="A322" s="22"/>
      <c r="B322" s="10"/>
      <c r="E322" s="10"/>
      <c r="F322" s="25">
        <v>0.0</v>
      </c>
      <c r="G322" s="29"/>
      <c r="H322" s="27">
        <v>0.0</v>
      </c>
      <c r="I322" s="27">
        <v>0.0</v>
      </c>
      <c r="J322" s="10"/>
    </row>
    <row r="323">
      <c r="A323" s="22"/>
      <c r="B323" s="10"/>
      <c r="E323" s="10"/>
      <c r="F323" s="25">
        <v>0.0</v>
      </c>
      <c r="G323" s="29"/>
      <c r="H323" s="27">
        <v>0.0</v>
      </c>
      <c r="I323" s="27">
        <v>0.0</v>
      </c>
      <c r="J323" s="10"/>
    </row>
    <row r="324">
      <c r="A324" s="22"/>
      <c r="B324" s="10"/>
      <c r="E324" s="10"/>
      <c r="F324" s="25">
        <v>0.0</v>
      </c>
      <c r="G324" s="29"/>
      <c r="H324" s="27">
        <v>0.0</v>
      </c>
      <c r="I324" s="27">
        <v>0.0</v>
      </c>
      <c r="J324" s="10"/>
    </row>
    <row r="325">
      <c r="A325" s="22"/>
      <c r="B325" s="10"/>
      <c r="E325" s="10"/>
      <c r="F325" s="25">
        <v>0.0</v>
      </c>
      <c r="G325" s="29"/>
      <c r="H325" s="27">
        <v>0.0</v>
      </c>
      <c r="I325" s="27">
        <v>0.0</v>
      </c>
      <c r="J325" s="10"/>
    </row>
    <row r="326">
      <c r="A326" s="22"/>
      <c r="B326" s="10"/>
      <c r="E326" s="10"/>
      <c r="F326" s="25">
        <v>0.0</v>
      </c>
      <c r="G326" s="29"/>
      <c r="H326" s="27">
        <v>0.0</v>
      </c>
      <c r="I326" s="27">
        <v>0.0</v>
      </c>
      <c r="J326" s="10"/>
    </row>
    <row r="327">
      <c r="A327" s="22"/>
      <c r="B327" s="10"/>
      <c r="E327" s="10"/>
      <c r="F327" s="25">
        <v>0.0</v>
      </c>
      <c r="G327" s="29"/>
      <c r="H327" s="27">
        <v>0.0</v>
      </c>
      <c r="I327" s="27">
        <v>0.0</v>
      </c>
      <c r="J327" s="10"/>
    </row>
    <row r="328">
      <c r="A328" s="22"/>
      <c r="B328" s="10"/>
      <c r="E328" s="10"/>
      <c r="F328" s="25">
        <v>0.0</v>
      </c>
      <c r="G328" s="29"/>
      <c r="H328" s="27">
        <v>0.0</v>
      </c>
      <c r="I328" s="27">
        <v>0.0</v>
      </c>
      <c r="J328" s="10"/>
    </row>
    <row r="329">
      <c r="A329" s="22"/>
      <c r="B329" s="10"/>
      <c r="E329" s="10"/>
      <c r="F329" s="25">
        <v>0.0</v>
      </c>
      <c r="G329" s="29"/>
      <c r="H329" s="27">
        <v>0.0</v>
      </c>
      <c r="I329" s="27">
        <v>0.0</v>
      </c>
      <c r="J329" s="10"/>
    </row>
    <row r="330">
      <c r="A330" s="22"/>
      <c r="B330" s="10"/>
      <c r="E330" s="10"/>
      <c r="F330" s="25">
        <v>0.0</v>
      </c>
      <c r="G330" s="29"/>
      <c r="H330" s="27">
        <v>0.0</v>
      </c>
      <c r="I330" s="27">
        <v>0.0</v>
      </c>
      <c r="J330" s="10"/>
    </row>
    <row r="331">
      <c r="A331" s="22"/>
      <c r="B331" s="10"/>
      <c r="E331" s="10"/>
      <c r="F331" s="25">
        <v>0.0</v>
      </c>
      <c r="G331" s="29"/>
      <c r="H331" s="27">
        <v>0.0</v>
      </c>
      <c r="I331" s="27">
        <v>0.0</v>
      </c>
      <c r="J331" s="10"/>
    </row>
    <row r="332">
      <c r="A332" s="22"/>
      <c r="B332" s="10"/>
      <c r="E332" s="10"/>
      <c r="F332" s="25">
        <v>0.0</v>
      </c>
      <c r="G332" s="29"/>
      <c r="H332" s="27">
        <v>0.0</v>
      </c>
      <c r="I332" s="27">
        <v>0.0</v>
      </c>
      <c r="J332" s="10"/>
    </row>
    <row r="333">
      <c r="A333" s="22"/>
      <c r="B333" s="10"/>
      <c r="E333" s="10"/>
      <c r="F333" s="25">
        <v>0.0</v>
      </c>
      <c r="G333" s="29"/>
      <c r="H333" s="27">
        <v>0.0</v>
      </c>
      <c r="I333" s="27">
        <v>0.0</v>
      </c>
      <c r="J333" s="10"/>
    </row>
    <row r="334">
      <c r="A334" s="22"/>
      <c r="B334" s="10"/>
      <c r="E334" s="10"/>
      <c r="F334" s="25">
        <v>0.0</v>
      </c>
      <c r="G334" s="29"/>
      <c r="H334" s="27">
        <v>0.0</v>
      </c>
      <c r="I334" s="27">
        <v>0.0</v>
      </c>
      <c r="J334" s="10"/>
    </row>
    <row r="335">
      <c r="A335" s="22"/>
      <c r="B335" s="10"/>
      <c r="E335" s="10"/>
      <c r="F335" s="25">
        <v>0.0</v>
      </c>
      <c r="G335" s="29"/>
      <c r="H335" s="27">
        <v>0.0</v>
      </c>
      <c r="I335" s="27">
        <v>0.0</v>
      </c>
      <c r="J335" s="10"/>
    </row>
    <row r="336">
      <c r="A336" s="22"/>
      <c r="B336" s="10"/>
      <c r="E336" s="10"/>
      <c r="F336" s="25">
        <v>0.0</v>
      </c>
      <c r="G336" s="29"/>
      <c r="H336" s="27">
        <v>0.0</v>
      </c>
      <c r="I336" s="27">
        <v>0.0</v>
      </c>
      <c r="J336" s="10"/>
    </row>
    <row r="337">
      <c r="A337" s="22"/>
      <c r="B337" s="10"/>
      <c r="E337" s="10"/>
      <c r="F337" s="25">
        <v>0.0</v>
      </c>
      <c r="G337" s="29"/>
      <c r="H337" s="27">
        <v>0.0</v>
      </c>
      <c r="I337" s="27">
        <v>0.0</v>
      </c>
      <c r="J337" s="10"/>
    </row>
    <row r="338">
      <c r="A338" s="22"/>
      <c r="B338" s="10"/>
      <c r="E338" s="10"/>
      <c r="F338" s="25">
        <v>0.0</v>
      </c>
      <c r="G338" s="29"/>
      <c r="H338" s="27">
        <v>0.0</v>
      </c>
      <c r="I338" s="27">
        <v>0.0</v>
      </c>
      <c r="J338" s="10"/>
    </row>
    <row r="339">
      <c r="A339" s="22"/>
      <c r="B339" s="10"/>
      <c r="E339" s="10"/>
      <c r="F339" s="25">
        <v>0.0</v>
      </c>
      <c r="G339" s="29"/>
      <c r="H339" s="27">
        <v>0.0</v>
      </c>
      <c r="I339" s="27">
        <v>0.0</v>
      </c>
      <c r="J339" s="10"/>
    </row>
    <row r="340">
      <c r="A340" s="22"/>
      <c r="B340" s="10"/>
      <c r="E340" s="10"/>
      <c r="F340" s="25">
        <v>0.0</v>
      </c>
      <c r="G340" s="29"/>
      <c r="H340" s="27">
        <v>0.0</v>
      </c>
      <c r="I340" s="27">
        <v>0.0</v>
      </c>
      <c r="J340" s="10"/>
    </row>
    <row r="341">
      <c r="A341" s="22"/>
      <c r="B341" s="10"/>
      <c r="E341" s="10"/>
      <c r="F341" s="25">
        <v>0.0</v>
      </c>
      <c r="G341" s="29"/>
      <c r="H341" s="27">
        <v>0.0</v>
      </c>
      <c r="I341" s="27">
        <v>0.0</v>
      </c>
      <c r="J341" s="10"/>
    </row>
    <row r="342">
      <c r="A342" s="22"/>
      <c r="B342" s="10"/>
      <c r="E342" s="10"/>
      <c r="F342" s="25">
        <v>0.0</v>
      </c>
      <c r="G342" s="29"/>
      <c r="H342" s="27">
        <v>0.0</v>
      </c>
      <c r="I342" s="27">
        <v>0.0</v>
      </c>
      <c r="J342" s="10"/>
    </row>
    <row r="343">
      <c r="A343" s="22"/>
      <c r="B343" s="10"/>
      <c r="E343" s="10"/>
      <c r="F343" s="25">
        <v>0.0</v>
      </c>
      <c r="G343" s="29"/>
      <c r="H343" s="27">
        <v>0.0</v>
      </c>
      <c r="I343" s="27">
        <v>0.0</v>
      </c>
      <c r="J343" s="10"/>
    </row>
    <row r="344">
      <c r="A344" s="22"/>
      <c r="B344" s="10"/>
      <c r="E344" s="10"/>
      <c r="F344" s="25">
        <v>0.0</v>
      </c>
      <c r="G344" s="29"/>
      <c r="H344" s="27">
        <v>0.0</v>
      </c>
      <c r="I344" s="27">
        <v>0.0</v>
      </c>
      <c r="J344" s="10"/>
    </row>
    <row r="345">
      <c r="A345" s="22"/>
      <c r="B345" s="10"/>
      <c r="E345" s="10"/>
      <c r="F345" s="25">
        <v>0.0</v>
      </c>
      <c r="G345" s="29"/>
      <c r="H345" s="27">
        <v>0.0</v>
      </c>
      <c r="I345" s="27">
        <v>0.0</v>
      </c>
      <c r="J345" s="10"/>
    </row>
    <row r="346">
      <c r="A346" s="22"/>
      <c r="B346" s="10"/>
      <c r="E346" s="10"/>
      <c r="F346" s="25">
        <v>0.0</v>
      </c>
      <c r="G346" s="29"/>
      <c r="H346" s="27">
        <v>0.0</v>
      </c>
      <c r="I346" s="27">
        <v>0.0</v>
      </c>
      <c r="J346" s="10"/>
    </row>
    <row r="347">
      <c r="A347" s="22"/>
      <c r="B347" s="10"/>
      <c r="E347" s="10"/>
      <c r="F347" s="25">
        <v>0.0</v>
      </c>
      <c r="G347" s="29"/>
      <c r="H347" s="27">
        <v>0.0</v>
      </c>
      <c r="I347" s="27">
        <v>0.0</v>
      </c>
      <c r="J347" s="10"/>
    </row>
    <row r="348">
      <c r="A348" s="22"/>
      <c r="B348" s="10"/>
      <c r="E348" s="10"/>
      <c r="F348" s="25">
        <v>0.0</v>
      </c>
      <c r="G348" s="29"/>
      <c r="H348" s="27">
        <v>0.0</v>
      </c>
      <c r="I348" s="27">
        <v>0.0</v>
      </c>
      <c r="J348" s="10"/>
    </row>
    <row r="349">
      <c r="A349" s="22"/>
      <c r="B349" s="10"/>
      <c r="E349" s="10"/>
      <c r="F349" s="25">
        <v>0.0</v>
      </c>
      <c r="G349" s="29"/>
      <c r="H349" s="27">
        <v>0.0</v>
      </c>
      <c r="I349" s="27">
        <v>0.0</v>
      </c>
      <c r="J349" s="10"/>
    </row>
    <row r="350">
      <c r="A350" s="22"/>
      <c r="B350" s="10"/>
      <c r="E350" s="10"/>
      <c r="F350" s="25">
        <v>0.0</v>
      </c>
      <c r="G350" s="29"/>
      <c r="H350" s="27">
        <v>0.0</v>
      </c>
      <c r="I350" s="27">
        <v>0.0</v>
      </c>
      <c r="J350" s="10"/>
    </row>
    <row r="351">
      <c r="A351" s="22"/>
      <c r="B351" s="10"/>
      <c r="E351" s="10"/>
      <c r="F351" s="25">
        <v>0.0</v>
      </c>
      <c r="G351" s="29"/>
      <c r="H351" s="27">
        <v>0.0</v>
      </c>
      <c r="I351" s="27">
        <v>0.0</v>
      </c>
      <c r="J351" s="10"/>
    </row>
    <row r="352">
      <c r="A352" s="22"/>
      <c r="B352" s="10"/>
      <c r="E352" s="10"/>
      <c r="F352" s="25">
        <v>0.0</v>
      </c>
      <c r="G352" s="29"/>
      <c r="H352" s="27">
        <v>0.0</v>
      </c>
      <c r="I352" s="27">
        <v>0.0</v>
      </c>
      <c r="J352" s="10"/>
    </row>
    <row r="353">
      <c r="A353" s="22"/>
      <c r="B353" s="10"/>
      <c r="E353" s="10"/>
      <c r="F353" s="25">
        <v>0.0</v>
      </c>
      <c r="G353" s="29"/>
      <c r="H353" s="27">
        <v>0.0</v>
      </c>
      <c r="I353" s="27">
        <v>0.0</v>
      </c>
      <c r="J353" s="10"/>
    </row>
    <row r="354">
      <c r="A354" s="22"/>
      <c r="B354" s="10"/>
      <c r="E354" s="10"/>
      <c r="F354" s="25">
        <v>0.0</v>
      </c>
      <c r="G354" s="29"/>
      <c r="H354" s="27">
        <v>0.0</v>
      </c>
      <c r="I354" s="27">
        <v>0.0</v>
      </c>
      <c r="J354" s="10"/>
    </row>
    <row r="355">
      <c r="A355" s="22"/>
      <c r="B355" s="10"/>
      <c r="E355" s="10"/>
      <c r="F355" s="25">
        <v>0.0</v>
      </c>
      <c r="G355" s="29"/>
      <c r="H355" s="27">
        <v>0.0</v>
      </c>
      <c r="I355" s="27">
        <v>0.0</v>
      </c>
      <c r="J355" s="10"/>
    </row>
    <row r="356">
      <c r="A356" s="22"/>
      <c r="B356" s="10"/>
      <c r="E356" s="10"/>
      <c r="F356" s="25">
        <v>0.0</v>
      </c>
      <c r="G356" s="29"/>
      <c r="H356" s="27">
        <v>0.0</v>
      </c>
      <c r="I356" s="27">
        <v>0.0</v>
      </c>
      <c r="J356" s="10"/>
    </row>
    <row r="357">
      <c r="A357" s="22"/>
      <c r="B357" s="10"/>
      <c r="E357" s="10"/>
      <c r="F357" s="25">
        <v>0.0</v>
      </c>
      <c r="G357" s="29"/>
      <c r="H357" s="27">
        <v>0.0</v>
      </c>
      <c r="I357" s="27">
        <v>0.0</v>
      </c>
      <c r="J357" s="10"/>
    </row>
    <row r="358">
      <c r="A358" s="22"/>
      <c r="B358" s="10"/>
      <c r="E358" s="10"/>
      <c r="F358" s="25">
        <v>0.0</v>
      </c>
      <c r="G358" s="29"/>
      <c r="H358" s="27">
        <v>0.0</v>
      </c>
      <c r="I358" s="27">
        <v>0.0</v>
      </c>
      <c r="J358" s="10"/>
    </row>
    <row r="359">
      <c r="A359" s="22"/>
      <c r="B359" s="10"/>
      <c r="E359" s="10"/>
      <c r="F359" s="25">
        <v>0.0</v>
      </c>
      <c r="G359" s="29"/>
      <c r="H359" s="27">
        <v>0.0</v>
      </c>
      <c r="I359" s="27">
        <v>0.0</v>
      </c>
      <c r="J359" s="10"/>
    </row>
    <row r="360">
      <c r="A360" s="22"/>
      <c r="B360" s="10"/>
      <c r="E360" s="10"/>
      <c r="F360" s="25">
        <v>0.0</v>
      </c>
      <c r="G360" s="29"/>
      <c r="H360" s="27">
        <v>0.0</v>
      </c>
      <c r="I360" s="27">
        <v>0.0</v>
      </c>
      <c r="J360" s="10"/>
    </row>
    <row r="361">
      <c r="A361" s="22"/>
      <c r="B361" s="10"/>
      <c r="E361" s="10"/>
      <c r="F361" s="25">
        <v>0.0</v>
      </c>
      <c r="G361" s="29"/>
      <c r="H361" s="27">
        <v>0.0</v>
      </c>
      <c r="I361" s="27">
        <v>0.0</v>
      </c>
      <c r="J361" s="10"/>
    </row>
    <row r="362">
      <c r="A362" s="22"/>
      <c r="B362" s="10"/>
      <c r="E362" s="10"/>
      <c r="F362" s="25">
        <v>0.0</v>
      </c>
      <c r="G362" s="29"/>
      <c r="H362" s="27">
        <v>0.0</v>
      </c>
      <c r="I362" s="27">
        <v>0.0</v>
      </c>
      <c r="J362" s="10"/>
    </row>
    <row r="363">
      <c r="A363" s="22"/>
      <c r="B363" s="10"/>
      <c r="E363" s="10"/>
      <c r="F363" s="25">
        <v>0.0</v>
      </c>
      <c r="G363" s="29"/>
      <c r="H363" s="27">
        <v>0.0</v>
      </c>
      <c r="I363" s="27">
        <v>0.0</v>
      </c>
      <c r="J363" s="10"/>
    </row>
    <row r="364">
      <c r="A364" s="22"/>
      <c r="B364" s="10"/>
      <c r="E364" s="10"/>
      <c r="F364" s="25">
        <v>0.0</v>
      </c>
      <c r="G364" s="29"/>
      <c r="H364" s="27">
        <v>0.0</v>
      </c>
      <c r="I364" s="27">
        <v>0.0</v>
      </c>
      <c r="J364" s="10"/>
    </row>
    <row r="365">
      <c r="A365" s="22"/>
      <c r="B365" s="10"/>
      <c r="E365" s="10"/>
      <c r="F365" s="25">
        <v>0.0</v>
      </c>
      <c r="G365" s="29"/>
      <c r="H365" s="27">
        <v>0.0</v>
      </c>
      <c r="I365" s="27">
        <v>0.0</v>
      </c>
      <c r="J365" s="10"/>
    </row>
    <row r="366">
      <c r="A366" s="22"/>
      <c r="B366" s="10"/>
      <c r="E366" s="10"/>
      <c r="F366" s="25">
        <v>0.0</v>
      </c>
      <c r="G366" s="29"/>
      <c r="H366" s="27">
        <v>0.0</v>
      </c>
      <c r="I366" s="27">
        <v>0.0</v>
      </c>
      <c r="J366" s="10"/>
    </row>
    <row r="367">
      <c r="A367" s="22"/>
      <c r="B367" s="10"/>
      <c r="E367" s="10"/>
      <c r="F367" s="25">
        <v>0.0</v>
      </c>
      <c r="G367" s="29"/>
      <c r="H367" s="27">
        <v>0.0</v>
      </c>
      <c r="I367" s="27">
        <v>0.0</v>
      </c>
      <c r="J367" s="10"/>
    </row>
    <row r="368">
      <c r="A368" s="22"/>
      <c r="B368" s="10"/>
      <c r="E368" s="10"/>
      <c r="F368" s="25">
        <v>0.0</v>
      </c>
      <c r="G368" s="29"/>
      <c r="H368" s="27">
        <v>0.0</v>
      </c>
      <c r="I368" s="27">
        <v>0.0</v>
      </c>
      <c r="J368" s="10"/>
    </row>
    <row r="369">
      <c r="A369" s="22"/>
      <c r="B369" s="10"/>
      <c r="E369" s="10"/>
      <c r="F369" s="25">
        <v>0.0</v>
      </c>
      <c r="G369" s="29"/>
      <c r="H369" s="27">
        <v>0.0</v>
      </c>
      <c r="I369" s="27">
        <v>0.0</v>
      </c>
      <c r="J369" s="10"/>
    </row>
    <row r="370">
      <c r="A370" s="22"/>
      <c r="B370" s="10"/>
      <c r="E370" s="10"/>
      <c r="F370" s="25">
        <v>0.0</v>
      </c>
      <c r="G370" s="29"/>
      <c r="H370" s="27">
        <v>0.0</v>
      </c>
      <c r="I370" s="27">
        <v>0.0</v>
      </c>
      <c r="J370" s="10"/>
    </row>
    <row r="371">
      <c r="A371" s="22"/>
      <c r="B371" s="10"/>
      <c r="E371" s="10"/>
      <c r="F371" s="25">
        <v>0.0</v>
      </c>
      <c r="G371" s="29"/>
      <c r="H371" s="27">
        <v>0.0</v>
      </c>
      <c r="I371" s="27">
        <v>0.0</v>
      </c>
      <c r="J371" s="10"/>
    </row>
    <row r="372">
      <c r="A372" s="22"/>
      <c r="B372" s="10"/>
      <c r="E372" s="10"/>
      <c r="F372" s="25">
        <v>0.0</v>
      </c>
      <c r="G372" s="29"/>
      <c r="H372" s="27">
        <v>0.0</v>
      </c>
      <c r="I372" s="27">
        <v>0.0</v>
      </c>
      <c r="J372" s="10"/>
    </row>
    <row r="373">
      <c r="A373" s="22"/>
      <c r="B373" s="10"/>
      <c r="E373" s="10"/>
      <c r="F373" s="25">
        <v>0.0</v>
      </c>
      <c r="G373" s="29"/>
      <c r="H373" s="27">
        <v>0.0</v>
      </c>
      <c r="I373" s="27">
        <v>0.0</v>
      </c>
      <c r="J373" s="10"/>
    </row>
    <row r="374">
      <c r="A374" s="22"/>
      <c r="B374" s="10"/>
      <c r="E374" s="10"/>
      <c r="F374" s="25">
        <v>0.0</v>
      </c>
      <c r="G374" s="29"/>
      <c r="H374" s="27">
        <v>0.0</v>
      </c>
      <c r="I374" s="27">
        <v>0.0</v>
      </c>
      <c r="J374" s="10"/>
    </row>
    <row r="375">
      <c r="A375" s="22"/>
      <c r="B375" s="10"/>
      <c r="E375" s="10"/>
      <c r="F375" s="25">
        <v>0.0</v>
      </c>
      <c r="G375" s="29"/>
      <c r="H375" s="27">
        <v>0.0</v>
      </c>
      <c r="I375" s="27">
        <v>0.0</v>
      </c>
      <c r="J375" s="10"/>
    </row>
    <row r="376">
      <c r="A376" s="22"/>
      <c r="B376" s="10"/>
      <c r="E376" s="10"/>
      <c r="F376" s="25">
        <v>0.0</v>
      </c>
      <c r="G376" s="29"/>
      <c r="H376" s="27">
        <v>0.0</v>
      </c>
      <c r="I376" s="27">
        <v>0.0</v>
      </c>
      <c r="J376" s="10"/>
    </row>
    <row r="377">
      <c r="A377" s="22"/>
      <c r="B377" s="10"/>
      <c r="E377" s="10"/>
      <c r="F377" s="25">
        <v>0.0</v>
      </c>
      <c r="G377" s="29"/>
      <c r="H377" s="27">
        <v>0.0</v>
      </c>
      <c r="I377" s="27">
        <v>0.0</v>
      </c>
      <c r="J377" s="10"/>
    </row>
    <row r="378">
      <c r="A378" s="22"/>
      <c r="B378" s="10"/>
      <c r="E378" s="10"/>
      <c r="F378" s="25">
        <v>0.0</v>
      </c>
      <c r="G378" s="29"/>
      <c r="H378" s="27">
        <v>0.0</v>
      </c>
      <c r="I378" s="27">
        <v>0.0</v>
      </c>
      <c r="J378" s="10"/>
    </row>
    <row r="379">
      <c r="A379" s="22"/>
      <c r="B379" s="10"/>
      <c r="E379" s="10"/>
      <c r="F379" s="25">
        <v>0.0</v>
      </c>
      <c r="G379" s="29"/>
      <c r="H379" s="27">
        <v>0.0</v>
      </c>
      <c r="I379" s="27">
        <v>0.0</v>
      </c>
      <c r="J379" s="10"/>
    </row>
    <row r="380">
      <c r="A380" s="22"/>
      <c r="B380" s="10"/>
      <c r="E380" s="10"/>
      <c r="F380" s="25">
        <v>0.0</v>
      </c>
      <c r="G380" s="29"/>
      <c r="H380" s="27">
        <v>0.0</v>
      </c>
      <c r="I380" s="27">
        <v>0.0</v>
      </c>
      <c r="J380" s="10"/>
    </row>
    <row r="381">
      <c r="A381" s="22"/>
      <c r="B381" s="10"/>
      <c r="E381" s="10"/>
      <c r="F381" s="25">
        <v>0.0</v>
      </c>
      <c r="G381" s="29"/>
      <c r="H381" s="27">
        <v>0.0</v>
      </c>
      <c r="I381" s="27">
        <v>0.0</v>
      </c>
      <c r="J381" s="10"/>
    </row>
    <row r="382">
      <c r="A382" s="22"/>
      <c r="B382" s="10"/>
      <c r="E382" s="10"/>
      <c r="F382" s="25">
        <v>0.0</v>
      </c>
      <c r="G382" s="29"/>
      <c r="H382" s="27">
        <v>0.0</v>
      </c>
      <c r="I382" s="27">
        <v>0.0</v>
      </c>
      <c r="J382" s="10"/>
    </row>
    <row r="383">
      <c r="A383" s="22"/>
      <c r="B383" s="10"/>
      <c r="E383" s="10"/>
      <c r="F383" s="25">
        <v>0.0</v>
      </c>
      <c r="G383" s="29"/>
      <c r="H383" s="27">
        <v>0.0</v>
      </c>
      <c r="I383" s="27">
        <v>0.0</v>
      </c>
      <c r="J383" s="10"/>
    </row>
    <row r="384">
      <c r="A384" s="22"/>
      <c r="B384" s="10"/>
      <c r="E384" s="10"/>
      <c r="F384" s="25">
        <v>0.0</v>
      </c>
      <c r="G384" s="29"/>
      <c r="H384" s="27">
        <v>0.0</v>
      </c>
      <c r="I384" s="27">
        <v>0.0</v>
      </c>
      <c r="J384" s="10"/>
    </row>
    <row r="385">
      <c r="A385" s="22"/>
      <c r="B385" s="10"/>
      <c r="E385" s="10"/>
      <c r="F385" s="25">
        <v>0.0</v>
      </c>
      <c r="G385" s="29"/>
      <c r="H385" s="27">
        <v>0.0</v>
      </c>
      <c r="I385" s="27">
        <v>0.0</v>
      </c>
      <c r="J385" s="10"/>
    </row>
    <row r="386">
      <c r="A386" s="22"/>
      <c r="B386" s="10"/>
      <c r="E386" s="10"/>
      <c r="F386" s="25">
        <v>0.0</v>
      </c>
      <c r="G386" s="29"/>
      <c r="H386" s="27">
        <v>0.0</v>
      </c>
      <c r="I386" s="27">
        <v>0.0</v>
      </c>
      <c r="J386" s="10"/>
    </row>
    <row r="387">
      <c r="A387" s="22"/>
      <c r="B387" s="10"/>
      <c r="E387" s="10"/>
      <c r="F387" s="25">
        <v>0.0</v>
      </c>
      <c r="G387" s="29"/>
      <c r="H387" s="27">
        <v>0.0</v>
      </c>
      <c r="I387" s="27">
        <v>0.0</v>
      </c>
      <c r="J387" s="10"/>
    </row>
    <row r="388">
      <c r="A388" s="22"/>
      <c r="B388" s="10"/>
      <c r="E388" s="10"/>
      <c r="F388" s="25">
        <v>0.0</v>
      </c>
      <c r="G388" s="29"/>
      <c r="H388" s="27">
        <v>0.0</v>
      </c>
      <c r="I388" s="27">
        <v>0.0</v>
      </c>
      <c r="J388" s="10"/>
    </row>
    <row r="389">
      <c r="A389" s="22"/>
      <c r="B389" s="10"/>
      <c r="E389" s="10"/>
      <c r="F389" s="25">
        <v>0.0</v>
      </c>
      <c r="G389" s="29"/>
      <c r="H389" s="27">
        <v>0.0</v>
      </c>
      <c r="I389" s="27">
        <v>0.0</v>
      </c>
      <c r="J389" s="10"/>
    </row>
    <row r="390">
      <c r="A390" s="22"/>
      <c r="B390" s="10"/>
      <c r="E390" s="10"/>
      <c r="F390" s="25">
        <v>0.0</v>
      </c>
      <c r="G390" s="29"/>
      <c r="H390" s="27">
        <v>0.0</v>
      </c>
      <c r="I390" s="27">
        <v>0.0</v>
      </c>
      <c r="J390" s="10"/>
    </row>
    <row r="391">
      <c r="A391" s="22"/>
      <c r="B391" s="10"/>
      <c r="E391" s="10"/>
      <c r="F391" s="25">
        <v>0.0</v>
      </c>
      <c r="G391" s="29"/>
      <c r="H391" s="27">
        <v>0.0</v>
      </c>
      <c r="I391" s="27">
        <v>0.0</v>
      </c>
      <c r="J391" s="10"/>
    </row>
    <row r="392">
      <c r="A392" s="22"/>
      <c r="B392" s="10"/>
      <c r="E392" s="10"/>
      <c r="F392" s="25">
        <v>0.0</v>
      </c>
      <c r="G392" s="29"/>
      <c r="H392" s="27">
        <v>0.0</v>
      </c>
      <c r="I392" s="27">
        <v>0.0</v>
      </c>
      <c r="J392" s="10"/>
    </row>
    <row r="393">
      <c r="A393" s="22"/>
      <c r="B393" s="10"/>
      <c r="E393" s="10"/>
      <c r="F393" s="25">
        <v>0.0</v>
      </c>
      <c r="G393" s="29"/>
      <c r="H393" s="27">
        <v>0.0</v>
      </c>
      <c r="I393" s="27">
        <v>0.0</v>
      </c>
      <c r="J393" s="10"/>
    </row>
    <row r="394">
      <c r="A394" s="22"/>
      <c r="B394" s="10"/>
      <c r="E394" s="10"/>
      <c r="F394" s="25">
        <v>0.0</v>
      </c>
      <c r="G394" s="29"/>
      <c r="H394" s="27">
        <v>0.0</v>
      </c>
      <c r="I394" s="27">
        <v>0.0</v>
      </c>
      <c r="J394" s="10"/>
    </row>
    <row r="395">
      <c r="A395" s="22"/>
      <c r="B395" s="10"/>
      <c r="E395" s="10"/>
      <c r="F395" s="25">
        <v>0.0</v>
      </c>
      <c r="G395" s="29"/>
      <c r="H395" s="27">
        <v>0.0</v>
      </c>
      <c r="I395" s="27">
        <v>0.0</v>
      </c>
      <c r="J395" s="10"/>
    </row>
    <row r="396">
      <c r="A396" s="22"/>
      <c r="B396" s="10"/>
      <c r="E396" s="10"/>
      <c r="F396" s="25">
        <v>0.0</v>
      </c>
      <c r="G396" s="29"/>
      <c r="H396" s="27">
        <v>0.0</v>
      </c>
      <c r="I396" s="27">
        <v>0.0</v>
      </c>
      <c r="J396" s="10"/>
    </row>
    <row r="397">
      <c r="A397" s="22"/>
      <c r="B397" s="10"/>
      <c r="E397" s="10"/>
      <c r="F397" s="25">
        <v>0.0</v>
      </c>
      <c r="G397" s="29"/>
      <c r="H397" s="27">
        <v>0.0</v>
      </c>
      <c r="I397" s="27">
        <v>0.0</v>
      </c>
      <c r="J397" s="10"/>
    </row>
    <row r="398">
      <c r="A398" s="22"/>
      <c r="B398" s="10"/>
      <c r="E398" s="10"/>
      <c r="F398" s="25">
        <v>0.0</v>
      </c>
      <c r="G398" s="29"/>
      <c r="H398" s="27">
        <v>0.0</v>
      </c>
      <c r="I398" s="27">
        <v>0.0</v>
      </c>
      <c r="J398" s="10"/>
    </row>
    <row r="399">
      <c r="A399" s="22"/>
      <c r="B399" s="10"/>
      <c r="E399" s="10"/>
      <c r="F399" s="25">
        <v>0.0</v>
      </c>
      <c r="G399" s="29"/>
      <c r="H399" s="27">
        <v>0.0</v>
      </c>
      <c r="I399" s="27">
        <v>0.0</v>
      </c>
      <c r="J399" s="10"/>
    </row>
    <row r="400">
      <c r="A400" s="22"/>
      <c r="B400" s="10"/>
      <c r="E400" s="10"/>
      <c r="F400" s="25">
        <v>0.0</v>
      </c>
      <c r="G400" s="29"/>
      <c r="H400" s="27">
        <v>0.0</v>
      </c>
      <c r="I400" s="27">
        <v>0.0</v>
      </c>
      <c r="J400" s="10"/>
    </row>
    <row r="401">
      <c r="A401" s="22"/>
      <c r="B401" s="10"/>
      <c r="E401" s="10"/>
      <c r="F401" s="25">
        <v>0.0</v>
      </c>
      <c r="G401" s="29"/>
      <c r="H401" s="27">
        <v>0.0</v>
      </c>
      <c r="I401" s="27">
        <v>0.0</v>
      </c>
      <c r="J401" s="10"/>
    </row>
    <row r="402">
      <c r="A402" s="22"/>
      <c r="B402" s="10"/>
      <c r="E402" s="10"/>
      <c r="F402" s="25">
        <v>0.0</v>
      </c>
      <c r="G402" s="29"/>
      <c r="H402" s="27">
        <v>0.0</v>
      </c>
      <c r="I402" s="27">
        <v>0.0</v>
      </c>
      <c r="J402" s="10"/>
    </row>
    <row r="403">
      <c r="A403" s="22"/>
      <c r="B403" s="10"/>
      <c r="E403" s="10"/>
      <c r="F403" s="25">
        <v>0.0</v>
      </c>
      <c r="G403" s="29"/>
      <c r="H403" s="27">
        <v>0.0</v>
      </c>
      <c r="I403" s="27">
        <v>0.0</v>
      </c>
      <c r="J403" s="10"/>
    </row>
    <row r="404">
      <c r="A404" s="22"/>
      <c r="B404" s="10"/>
      <c r="E404" s="10"/>
      <c r="F404" s="25">
        <v>0.0</v>
      </c>
      <c r="G404" s="29"/>
      <c r="H404" s="27">
        <v>0.0</v>
      </c>
      <c r="I404" s="27">
        <v>0.0</v>
      </c>
      <c r="J404" s="10"/>
    </row>
    <row r="405">
      <c r="A405" s="22"/>
      <c r="B405" s="10"/>
      <c r="E405" s="10"/>
      <c r="F405" s="25">
        <v>0.0</v>
      </c>
      <c r="G405" s="29"/>
      <c r="H405" s="27">
        <v>0.0</v>
      </c>
      <c r="I405" s="27">
        <v>0.0</v>
      </c>
      <c r="J405" s="10"/>
    </row>
    <row r="406">
      <c r="A406" s="22"/>
      <c r="B406" s="10"/>
      <c r="E406" s="10"/>
      <c r="F406" s="25">
        <v>0.0</v>
      </c>
      <c r="G406" s="29"/>
      <c r="H406" s="27">
        <v>0.0</v>
      </c>
      <c r="I406" s="27">
        <v>0.0</v>
      </c>
      <c r="J406" s="10"/>
    </row>
    <row r="407">
      <c r="A407" s="22"/>
      <c r="B407" s="10"/>
      <c r="E407" s="10"/>
      <c r="F407" s="25">
        <v>0.0</v>
      </c>
      <c r="G407" s="29"/>
      <c r="H407" s="27">
        <v>0.0</v>
      </c>
      <c r="I407" s="27">
        <v>0.0</v>
      </c>
      <c r="J407" s="10"/>
    </row>
    <row r="408">
      <c r="A408" s="22"/>
      <c r="B408" s="10"/>
      <c r="E408" s="10"/>
      <c r="F408" s="25">
        <v>0.0</v>
      </c>
      <c r="G408" s="29"/>
      <c r="H408" s="27">
        <v>0.0</v>
      </c>
      <c r="I408" s="27">
        <v>0.0</v>
      </c>
      <c r="J408" s="10"/>
    </row>
    <row r="409">
      <c r="A409" s="22"/>
      <c r="B409" s="10"/>
      <c r="E409" s="10"/>
      <c r="F409" s="25">
        <v>0.0</v>
      </c>
      <c r="G409" s="29"/>
      <c r="H409" s="27">
        <v>0.0</v>
      </c>
      <c r="I409" s="27">
        <v>0.0</v>
      </c>
      <c r="J409" s="10"/>
    </row>
    <row r="410">
      <c r="A410" s="22"/>
      <c r="B410" s="10"/>
      <c r="E410" s="10"/>
      <c r="F410" s="25">
        <v>0.0</v>
      </c>
      <c r="G410" s="29"/>
      <c r="H410" s="27">
        <v>0.0</v>
      </c>
      <c r="I410" s="27">
        <v>0.0</v>
      </c>
      <c r="J410" s="10"/>
    </row>
    <row r="411">
      <c r="A411" s="22"/>
      <c r="B411" s="10"/>
      <c r="E411" s="10"/>
      <c r="F411" s="25">
        <v>0.0</v>
      </c>
      <c r="G411" s="29"/>
      <c r="H411" s="27">
        <v>0.0</v>
      </c>
      <c r="I411" s="27">
        <v>0.0</v>
      </c>
      <c r="J411" s="10"/>
    </row>
    <row r="412">
      <c r="A412" s="22"/>
      <c r="B412" s="10"/>
      <c r="E412" s="10"/>
      <c r="F412" s="25">
        <v>0.0</v>
      </c>
      <c r="G412" s="29"/>
      <c r="H412" s="27">
        <v>0.0</v>
      </c>
      <c r="I412" s="27">
        <v>0.0</v>
      </c>
      <c r="J412" s="10"/>
    </row>
    <row r="413">
      <c r="A413" s="22"/>
      <c r="B413" s="10"/>
      <c r="E413" s="10"/>
      <c r="F413" s="25">
        <v>0.0</v>
      </c>
      <c r="G413" s="29"/>
      <c r="H413" s="27">
        <v>0.0</v>
      </c>
      <c r="I413" s="27">
        <v>0.0</v>
      </c>
      <c r="J413" s="10"/>
    </row>
    <row r="414">
      <c r="A414" s="22"/>
      <c r="B414" s="10"/>
      <c r="E414" s="10"/>
      <c r="F414" s="25">
        <v>0.0</v>
      </c>
      <c r="G414" s="29"/>
      <c r="H414" s="27">
        <v>0.0</v>
      </c>
      <c r="I414" s="27">
        <v>0.0</v>
      </c>
      <c r="J414" s="10"/>
    </row>
    <row r="415">
      <c r="A415" s="22"/>
      <c r="B415" s="10"/>
      <c r="E415" s="10"/>
      <c r="F415" s="25">
        <v>0.0</v>
      </c>
      <c r="G415" s="29"/>
      <c r="H415" s="27">
        <v>0.0</v>
      </c>
      <c r="I415" s="27">
        <v>0.0</v>
      </c>
      <c r="J415" s="10"/>
    </row>
    <row r="416">
      <c r="A416" s="22"/>
      <c r="B416" s="10"/>
      <c r="E416" s="10"/>
      <c r="F416" s="25">
        <v>0.0</v>
      </c>
      <c r="G416" s="29"/>
      <c r="H416" s="27">
        <v>0.0</v>
      </c>
      <c r="I416" s="27">
        <v>0.0</v>
      </c>
      <c r="J416" s="10"/>
    </row>
    <row r="417">
      <c r="A417" s="22"/>
      <c r="B417" s="10"/>
      <c r="E417" s="10"/>
      <c r="F417" s="25">
        <v>0.0</v>
      </c>
      <c r="G417" s="29"/>
      <c r="H417" s="27">
        <v>0.0</v>
      </c>
      <c r="I417" s="27">
        <v>0.0</v>
      </c>
      <c r="J417" s="10"/>
    </row>
    <row r="418">
      <c r="A418" s="22"/>
      <c r="B418" s="10"/>
      <c r="E418" s="10"/>
      <c r="F418" s="25">
        <v>0.0</v>
      </c>
      <c r="G418" s="29"/>
      <c r="H418" s="27">
        <v>0.0</v>
      </c>
      <c r="I418" s="27">
        <v>0.0</v>
      </c>
      <c r="J418" s="10"/>
    </row>
    <row r="419">
      <c r="A419" s="22"/>
      <c r="B419" s="10"/>
      <c r="E419" s="10"/>
      <c r="F419" s="25">
        <v>0.0</v>
      </c>
      <c r="G419" s="29"/>
      <c r="H419" s="27">
        <v>0.0</v>
      </c>
      <c r="I419" s="27">
        <v>0.0</v>
      </c>
      <c r="J419" s="10"/>
    </row>
    <row r="420">
      <c r="A420" s="22"/>
      <c r="B420" s="10"/>
      <c r="E420" s="10"/>
      <c r="F420" s="25">
        <v>0.0</v>
      </c>
      <c r="G420" s="29"/>
      <c r="H420" s="27">
        <v>0.0</v>
      </c>
      <c r="I420" s="27">
        <v>0.0</v>
      </c>
      <c r="J420" s="10"/>
    </row>
    <row r="421">
      <c r="A421" s="22"/>
      <c r="B421" s="10"/>
      <c r="E421" s="10"/>
      <c r="F421" s="25">
        <v>0.0</v>
      </c>
      <c r="G421" s="29"/>
      <c r="H421" s="27">
        <v>0.0</v>
      </c>
      <c r="I421" s="27">
        <v>0.0</v>
      </c>
      <c r="J421" s="10"/>
    </row>
    <row r="422">
      <c r="A422" s="22"/>
      <c r="B422" s="10"/>
      <c r="E422" s="10"/>
      <c r="F422" s="25">
        <v>0.0</v>
      </c>
      <c r="G422" s="29"/>
      <c r="H422" s="27">
        <v>0.0</v>
      </c>
      <c r="I422" s="27">
        <v>0.0</v>
      </c>
      <c r="J422" s="10"/>
    </row>
    <row r="423">
      <c r="A423" s="22"/>
      <c r="B423" s="10"/>
      <c r="E423" s="10"/>
      <c r="F423" s="25">
        <v>0.0</v>
      </c>
      <c r="G423" s="29"/>
      <c r="H423" s="27">
        <v>0.0</v>
      </c>
      <c r="I423" s="27">
        <v>0.0</v>
      </c>
      <c r="J423" s="10"/>
    </row>
    <row r="424">
      <c r="A424" s="22"/>
      <c r="B424" s="10"/>
      <c r="E424" s="10"/>
      <c r="F424" s="25">
        <v>0.0</v>
      </c>
      <c r="G424" s="29"/>
      <c r="H424" s="27">
        <v>0.0</v>
      </c>
      <c r="I424" s="27">
        <v>0.0</v>
      </c>
      <c r="J424" s="10"/>
    </row>
    <row r="425">
      <c r="A425" s="22"/>
      <c r="B425" s="10"/>
      <c r="E425" s="10"/>
      <c r="F425" s="25">
        <v>0.0</v>
      </c>
      <c r="G425" s="29"/>
      <c r="H425" s="27">
        <v>0.0</v>
      </c>
      <c r="I425" s="27">
        <v>0.0</v>
      </c>
      <c r="J425" s="10"/>
    </row>
    <row r="426">
      <c r="A426" s="22"/>
      <c r="B426" s="10"/>
      <c r="E426" s="10"/>
      <c r="F426" s="25">
        <v>0.0</v>
      </c>
      <c r="G426" s="29"/>
      <c r="H426" s="27">
        <v>0.0</v>
      </c>
      <c r="I426" s="27">
        <v>0.0</v>
      </c>
      <c r="J426" s="10"/>
    </row>
    <row r="427">
      <c r="A427" s="22"/>
      <c r="B427" s="10"/>
      <c r="E427" s="10"/>
      <c r="F427" s="25">
        <v>0.0</v>
      </c>
      <c r="G427" s="29"/>
      <c r="H427" s="27">
        <v>0.0</v>
      </c>
      <c r="I427" s="27">
        <v>0.0</v>
      </c>
      <c r="J427" s="10"/>
    </row>
    <row r="428">
      <c r="A428" s="22"/>
      <c r="B428" s="10"/>
      <c r="E428" s="10"/>
      <c r="F428" s="25">
        <v>0.0</v>
      </c>
      <c r="G428" s="29"/>
      <c r="H428" s="27">
        <v>0.0</v>
      </c>
      <c r="I428" s="27">
        <v>0.0</v>
      </c>
      <c r="J428" s="10"/>
    </row>
    <row r="429">
      <c r="A429" s="22"/>
      <c r="B429" s="10"/>
      <c r="E429" s="10"/>
      <c r="F429" s="25">
        <v>0.0</v>
      </c>
      <c r="G429" s="29"/>
      <c r="H429" s="27">
        <v>0.0</v>
      </c>
      <c r="I429" s="27">
        <v>0.0</v>
      </c>
      <c r="J429" s="10"/>
    </row>
    <row r="430">
      <c r="A430" s="22"/>
      <c r="B430" s="10"/>
      <c r="E430" s="10"/>
      <c r="F430" s="25">
        <v>0.0</v>
      </c>
      <c r="G430" s="29"/>
      <c r="H430" s="27">
        <v>0.0</v>
      </c>
      <c r="I430" s="27">
        <v>0.0</v>
      </c>
      <c r="J430" s="10"/>
    </row>
    <row r="431">
      <c r="A431" s="22"/>
      <c r="B431" s="10"/>
      <c r="E431" s="10"/>
      <c r="F431" s="25">
        <v>0.0</v>
      </c>
      <c r="G431" s="29"/>
      <c r="H431" s="27">
        <v>0.0</v>
      </c>
      <c r="I431" s="27">
        <v>0.0</v>
      </c>
      <c r="J431" s="10"/>
    </row>
    <row r="432">
      <c r="A432" s="22"/>
      <c r="B432" s="10"/>
      <c r="E432" s="10"/>
      <c r="F432" s="25">
        <v>0.0</v>
      </c>
      <c r="G432" s="29"/>
      <c r="H432" s="27">
        <v>0.0</v>
      </c>
      <c r="I432" s="27">
        <v>0.0</v>
      </c>
      <c r="J432" s="10"/>
    </row>
    <row r="433">
      <c r="A433" s="22"/>
      <c r="B433" s="10"/>
      <c r="E433" s="10"/>
      <c r="F433" s="25">
        <v>0.0</v>
      </c>
      <c r="G433" s="29"/>
      <c r="H433" s="27">
        <v>0.0</v>
      </c>
      <c r="I433" s="27">
        <v>0.0</v>
      </c>
      <c r="J433" s="10"/>
    </row>
    <row r="434">
      <c r="A434" s="22"/>
      <c r="B434" s="10"/>
      <c r="E434" s="10"/>
      <c r="F434" s="25">
        <v>0.0</v>
      </c>
      <c r="G434" s="29"/>
      <c r="H434" s="27">
        <v>0.0</v>
      </c>
      <c r="I434" s="27">
        <v>0.0</v>
      </c>
      <c r="J434" s="10"/>
    </row>
    <row r="435">
      <c r="A435" s="22"/>
      <c r="B435" s="10"/>
      <c r="E435" s="10"/>
      <c r="F435" s="25">
        <v>0.0</v>
      </c>
      <c r="G435" s="29"/>
      <c r="H435" s="27">
        <v>0.0</v>
      </c>
      <c r="I435" s="27">
        <v>0.0</v>
      </c>
      <c r="J435" s="10"/>
    </row>
    <row r="436">
      <c r="A436" s="22"/>
      <c r="B436" s="10"/>
      <c r="E436" s="10"/>
      <c r="F436" s="25">
        <v>0.0</v>
      </c>
      <c r="G436" s="29"/>
      <c r="H436" s="27">
        <v>0.0</v>
      </c>
      <c r="I436" s="27">
        <v>0.0</v>
      </c>
      <c r="J436" s="10"/>
    </row>
    <row r="437">
      <c r="A437" s="22"/>
      <c r="B437" s="10"/>
      <c r="E437" s="10"/>
      <c r="F437" s="25">
        <v>0.0</v>
      </c>
      <c r="G437" s="29"/>
      <c r="H437" s="27">
        <v>0.0</v>
      </c>
      <c r="I437" s="27">
        <v>0.0</v>
      </c>
      <c r="J437" s="10"/>
    </row>
    <row r="438">
      <c r="A438" s="22"/>
      <c r="B438" s="10"/>
      <c r="E438" s="10"/>
      <c r="F438" s="25">
        <v>0.0</v>
      </c>
      <c r="G438" s="29"/>
      <c r="H438" s="27">
        <v>0.0</v>
      </c>
      <c r="I438" s="27">
        <v>0.0</v>
      </c>
      <c r="J438" s="10"/>
    </row>
    <row r="439">
      <c r="A439" s="22"/>
      <c r="B439" s="10"/>
      <c r="E439" s="10"/>
      <c r="F439" s="25">
        <v>0.0</v>
      </c>
      <c r="G439" s="29"/>
      <c r="H439" s="27">
        <v>0.0</v>
      </c>
      <c r="I439" s="27">
        <v>0.0</v>
      </c>
      <c r="J439" s="10"/>
    </row>
    <row r="440">
      <c r="A440" s="22"/>
      <c r="B440" s="10"/>
      <c r="E440" s="10"/>
      <c r="F440" s="25">
        <v>0.0</v>
      </c>
      <c r="G440" s="29"/>
      <c r="H440" s="27">
        <v>0.0</v>
      </c>
      <c r="I440" s="27">
        <v>0.0</v>
      </c>
      <c r="J440" s="10"/>
    </row>
    <row r="441">
      <c r="A441" s="22"/>
      <c r="B441" s="10"/>
      <c r="E441" s="10"/>
      <c r="F441" s="25">
        <v>0.0</v>
      </c>
      <c r="G441" s="29"/>
      <c r="H441" s="27">
        <v>0.0</v>
      </c>
      <c r="I441" s="27">
        <v>0.0</v>
      </c>
      <c r="J441" s="10"/>
    </row>
    <row r="442">
      <c r="A442" s="22"/>
      <c r="B442" s="10"/>
      <c r="E442" s="10"/>
      <c r="F442" s="25">
        <v>0.0</v>
      </c>
      <c r="G442" s="29"/>
      <c r="H442" s="27">
        <v>0.0</v>
      </c>
      <c r="I442" s="27">
        <v>0.0</v>
      </c>
      <c r="J442" s="10"/>
    </row>
    <row r="443">
      <c r="A443" s="22"/>
      <c r="B443" s="10"/>
      <c r="E443" s="10"/>
      <c r="F443" s="25">
        <v>0.0</v>
      </c>
      <c r="G443" s="29"/>
      <c r="H443" s="27">
        <v>0.0</v>
      </c>
      <c r="I443" s="27">
        <v>0.0</v>
      </c>
      <c r="J443" s="10"/>
    </row>
    <row r="444">
      <c r="A444" s="22"/>
      <c r="B444" s="10"/>
      <c r="E444" s="10"/>
      <c r="F444" s="25">
        <v>0.0</v>
      </c>
      <c r="G444" s="29"/>
      <c r="H444" s="27">
        <v>0.0</v>
      </c>
      <c r="I444" s="27">
        <v>0.0</v>
      </c>
      <c r="J444" s="10"/>
    </row>
    <row r="445">
      <c r="A445" s="22"/>
      <c r="B445" s="10"/>
      <c r="E445" s="10"/>
      <c r="F445" s="25">
        <v>0.0</v>
      </c>
      <c r="G445" s="29"/>
      <c r="H445" s="27">
        <v>0.0</v>
      </c>
      <c r="I445" s="27">
        <v>0.0</v>
      </c>
      <c r="J445" s="10"/>
    </row>
    <row r="446">
      <c r="A446" s="22"/>
      <c r="B446" s="10"/>
      <c r="E446" s="10"/>
      <c r="F446" s="25">
        <v>0.0</v>
      </c>
      <c r="G446" s="29"/>
      <c r="H446" s="27">
        <v>0.0</v>
      </c>
      <c r="I446" s="27">
        <v>0.0</v>
      </c>
      <c r="J446" s="10"/>
    </row>
    <row r="447">
      <c r="A447" s="22"/>
      <c r="B447" s="10"/>
      <c r="E447" s="10"/>
      <c r="F447" s="25">
        <v>0.0</v>
      </c>
      <c r="G447" s="29"/>
      <c r="H447" s="27">
        <v>0.0</v>
      </c>
      <c r="I447" s="27">
        <v>0.0</v>
      </c>
      <c r="J447" s="10"/>
    </row>
    <row r="448">
      <c r="A448" s="22"/>
      <c r="B448" s="10"/>
      <c r="E448" s="10"/>
      <c r="F448" s="25">
        <v>0.0</v>
      </c>
      <c r="G448" s="29"/>
      <c r="H448" s="27">
        <v>0.0</v>
      </c>
      <c r="I448" s="27">
        <v>0.0</v>
      </c>
      <c r="J448" s="10"/>
    </row>
    <row r="449">
      <c r="A449" s="22"/>
      <c r="B449" s="10"/>
      <c r="E449" s="10"/>
      <c r="F449" s="25">
        <v>0.0</v>
      </c>
      <c r="G449" s="29"/>
      <c r="H449" s="27">
        <v>0.0</v>
      </c>
      <c r="I449" s="27">
        <v>0.0</v>
      </c>
      <c r="J449" s="10"/>
    </row>
    <row r="450">
      <c r="A450" s="22"/>
      <c r="B450" s="10"/>
      <c r="E450" s="10"/>
      <c r="F450" s="25">
        <v>0.0</v>
      </c>
      <c r="G450" s="29"/>
      <c r="H450" s="27">
        <v>0.0</v>
      </c>
      <c r="I450" s="27">
        <v>0.0</v>
      </c>
      <c r="J450" s="10"/>
    </row>
    <row r="451">
      <c r="A451" s="22"/>
      <c r="B451" s="10"/>
      <c r="E451" s="10"/>
      <c r="F451" s="25">
        <v>0.0</v>
      </c>
      <c r="G451" s="29"/>
      <c r="H451" s="27">
        <v>0.0</v>
      </c>
      <c r="I451" s="27">
        <v>0.0</v>
      </c>
      <c r="J451" s="10"/>
    </row>
    <row r="452">
      <c r="A452" s="22"/>
      <c r="B452" s="10"/>
      <c r="E452" s="10"/>
      <c r="F452" s="25">
        <v>0.0</v>
      </c>
      <c r="G452" s="29"/>
      <c r="H452" s="27">
        <v>0.0</v>
      </c>
      <c r="I452" s="27">
        <v>0.0</v>
      </c>
      <c r="J452" s="10"/>
    </row>
    <row r="453">
      <c r="A453" s="22"/>
      <c r="B453" s="10"/>
      <c r="E453" s="10"/>
      <c r="F453" s="25">
        <v>0.0</v>
      </c>
      <c r="G453" s="29"/>
      <c r="H453" s="27">
        <v>0.0</v>
      </c>
      <c r="I453" s="27">
        <v>0.0</v>
      </c>
      <c r="J453" s="10"/>
    </row>
    <row r="454">
      <c r="A454" s="22"/>
      <c r="B454" s="10"/>
      <c r="E454" s="10"/>
      <c r="F454" s="25">
        <v>0.0</v>
      </c>
      <c r="G454" s="29"/>
      <c r="H454" s="27">
        <v>0.0</v>
      </c>
      <c r="I454" s="27">
        <v>0.0</v>
      </c>
      <c r="J454" s="10"/>
    </row>
    <row r="455">
      <c r="A455" s="22"/>
      <c r="B455" s="10"/>
      <c r="E455" s="10"/>
      <c r="F455" s="25">
        <v>0.0</v>
      </c>
      <c r="G455" s="29"/>
      <c r="H455" s="27">
        <v>0.0</v>
      </c>
      <c r="I455" s="27">
        <v>0.0</v>
      </c>
      <c r="J455" s="10"/>
    </row>
    <row r="456">
      <c r="A456" s="22"/>
      <c r="B456" s="10"/>
      <c r="E456" s="10"/>
      <c r="F456" s="25">
        <v>0.0</v>
      </c>
      <c r="G456" s="29"/>
      <c r="H456" s="27">
        <v>0.0</v>
      </c>
      <c r="I456" s="27">
        <v>0.0</v>
      </c>
      <c r="J456" s="10"/>
    </row>
    <row r="457">
      <c r="A457" s="22"/>
      <c r="B457" s="10"/>
      <c r="E457" s="10"/>
      <c r="F457" s="25">
        <v>0.0</v>
      </c>
      <c r="G457" s="29"/>
      <c r="H457" s="27">
        <v>0.0</v>
      </c>
      <c r="I457" s="27">
        <v>0.0</v>
      </c>
      <c r="J457" s="10"/>
    </row>
    <row r="458">
      <c r="A458" s="22"/>
      <c r="B458" s="10"/>
      <c r="E458" s="10"/>
      <c r="F458" s="25">
        <v>0.0</v>
      </c>
      <c r="G458" s="29"/>
      <c r="H458" s="27">
        <v>0.0</v>
      </c>
      <c r="I458" s="27">
        <v>0.0</v>
      </c>
      <c r="J458" s="10"/>
    </row>
    <row r="459">
      <c r="A459" s="22"/>
      <c r="B459" s="10"/>
      <c r="E459" s="10"/>
      <c r="F459" s="25">
        <v>0.0</v>
      </c>
      <c r="G459" s="29"/>
      <c r="H459" s="27">
        <v>0.0</v>
      </c>
      <c r="I459" s="27">
        <v>0.0</v>
      </c>
      <c r="J459" s="10"/>
    </row>
    <row r="460">
      <c r="A460" s="22"/>
      <c r="B460" s="10"/>
      <c r="E460" s="10"/>
      <c r="F460" s="25">
        <v>0.0</v>
      </c>
      <c r="G460" s="29"/>
      <c r="H460" s="27">
        <v>0.0</v>
      </c>
      <c r="I460" s="27">
        <v>0.0</v>
      </c>
      <c r="J460" s="10"/>
    </row>
    <row r="461">
      <c r="A461" s="22"/>
      <c r="B461" s="10"/>
      <c r="E461" s="10"/>
      <c r="F461" s="25">
        <v>0.0</v>
      </c>
      <c r="G461" s="29"/>
      <c r="H461" s="27">
        <v>0.0</v>
      </c>
      <c r="I461" s="27">
        <v>0.0</v>
      </c>
      <c r="J461" s="10"/>
    </row>
    <row r="462">
      <c r="A462" s="22"/>
      <c r="B462" s="10"/>
      <c r="E462" s="10"/>
      <c r="F462" s="25">
        <v>0.0</v>
      </c>
      <c r="G462" s="29"/>
      <c r="H462" s="27">
        <v>0.0</v>
      </c>
      <c r="I462" s="27">
        <v>0.0</v>
      </c>
      <c r="J462" s="10"/>
    </row>
    <row r="463">
      <c r="A463" s="22"/>
      <c r="B463" s="10"/>
      <c r="E463" s="10"/>
      <c r="F463" s="25">
        <v>0.0</v>
      </c>
      <c r="G463" s="29"/>
      <c r="H463" s="27">
        <v>0.0</v>
      </c>
      <c r="I463" s="27">
        <v>0.0</v>
      </c>
      <c r="J463" s="10"/>
    </row>
    <row r="464">
      <c r="A464" s="22"/>
      <c r="B464" s="10"/>
      <c r="E464" s="10"/>
      <c r="F464" s="25">
        <v>0.0</v>
      </c>
      <c r="G464" s="29"/>
      <c r="H464" s="27">
        <v>0.0</v>
      </c>
      <c r="I464" s="27">
        <v>0.0</v>
      </c>
      <c r="J464" s="10"/>
    </row>
    <row r="465">
      <c r="A465" s="22"/>
      <c r="B465" s="10"/>
      <c r="E465" s="10"/>
      <c r="F465" s="25">
        <v>0.0</v>
      </c>
      <c r="G465" s="29"/>
      <c r="H465" s="27">
        <v>0.0</v>
      </c>
      <c r="I465" s="27">
        <v>0.0</v>
      </c>
      <c r="J465" s="10"/>
    </row>
    <row r="466">
      <c r="A466" s="22"/>
      <c r="B466" s="10"/>
      <c r="E466" s="10"/>
      <c r="F466" s="25">
        <v>0.0</v>
      </c>
      <c r="G466" s="29"/>
      <c r="H466" s="27">
        <v>0.0</v>
      </c>
      <c r="I466" s="27">
        <v>0.0</v>
      </c>
      <c r="J466" s="10"/>
    </row>
    <row r="467">
      <c r="A467" s="22"/>
      <c r="B467" s="10"/>
      <c r="E467" s="10"/>
      <c r="F467" s="25">
        <v>0.0</v>
      </c>
      <c r="G467" s="29"/>
      <c r="H467" s="27">
        <v>0.0</v>
      </c>
      <c r="I467" s="27">
        <v>0.0</v>
      </c>
      <c r="J467" s="10"/>
    </row>
    <row r="468">
      <c r="A468" s="22"/>
      <c r="B468" s="10"/>
      <c r="E468" s="10"/>
      <c r="F468" s="25">
        <v>0.0</v>
      </c>
      <c r="G468" s="29"/>
      <c r="H468" s="27">
        <v>0.0</v>
      </c>
      <c r="I468" s="27">
        <v>0.0</v>
      </c>
      <c r="J468" s="10"/>
    </row>
    <row r="469">
      <c r="A469" s="22"/>
      <c r="B469" s="10"/>
      <c r="E469" s="10"/>
      <c r="F469" s="25">
        <v>0.0</v>
      </c>
      <c r="G469" s="29"/>
      <c r="H469" s="27">
        <v>0.0</v>
      </c>
      <c r="I469" s="27">
        <v>0.0</v>
      </c>
      <c r="J469" s="10"/>
    </row>
    <row r="470">
      <c r="A470" s="22"/>
      <c r="B470" s="10"/>
      <c r="E470" s="10"/>
      <c r="F470" s="25">
        <v>0.0</v>
      </c>
      <c r="G470" s="29"/>
      <c r="H470" s="27">
        <v>0.0</v>
      </c>
      <c r="I470" s="27">
        <v>0.0</v>
      </c>
      <c r="J470" s="10"/>
    </row>
    <row r="471">
      <c r="A471" s="22"/>
      <c r="B471" s="10"/>
      <c r="E471" s="10"/>
      <c r="F471" s="25">
        <v>0.0</v>
      </c>
      <c r="G471" s="29"/>
      <c r="H471" s="27">
        <v>0.0</v>
      </c>
      <c r="I471" s="27">
        <v>0.0</v>
      </c>
      <c r="J471" s="10"/>
    </row>
    <row r="472">
      <c r="A472" s="22"/>
      <c r="B472" s="10"/>
      <c r="E472" s="10"/>
      <c r="F472" s="25">
        <v>0.0</v>
      </c>
      <c r="G472" s="29"/>
      <c r="H472" s="27">
        <v>0.0</v>
      </c>
      <c r="I472" s="27">
        <v>0.0</v>
      </c>
      <c r="J472" s="10"/>
    </row>
    <row r="473">
      <c r="A473" s="22"/>
      <c r="B473" s="10"/>
      <c r="E473" s="10"/>
      <c r="F473" s="25">
        <v>0.0</v>
      </c>
      <c r="G473" s="29"/>
      <c r="H473" s="27">
        <v>0.0</v>
      </c>
      <c r="I473" s="27">
        <v>0.0</v>
      </c>
      <c r="J473" s="10"/>
    </row>
    <row r="474">
      <c r="A474" s="22"/>
      <c r="B474" s="10"/>
      <c r="E474" s="10"/>
      <c r="F474" s="25">
        <v>0.0</v>
      </c>
      <c r="G474" s="29"/>
      <c r="H474" s="27">
        <v>0.0</v>
      </c>
      <c r="I474" s="27">
        <v>0.0</v>
      </c>
      <c r="J474" s="10"/>
    </row>
    <row r="475">
      <c r="A475" s="22"/>
      <c r="B475" s="10"/>
      <c r="E475" s="10"/>
      <c r="F475" s="25">
        <v>0.0</v>
      </c>
      <c r="G475" s="29"/>
      <c r="H475" s="27">
        <v>0.0</v>
      </c>
      <c r="I475" s="27">
        <v>0.0</v>
      </c>
      <c r="J475" s="10"/>
    </row>
    <row r="476">
      <c r="A476" s="22"/>
      <c r="B476" s="10"/>
      <c r="E476" s="10"/>
      <c r="F476" s="25">
        <v>0.0</v>
      </c>
      <c r="G476" s="29"/>
      <c r="H476" s="27">
        <v>0.0</v>
      </c>
      <c r="I476" s="27">
        <v>0.0</v>
      </c>
      <c r="J476" s="10"/>
    </row>
    <row r="477">
      <c r="A477" s="22"/>
      <c r="B477" s="10"/>
      <c r="E477" s="10"/>
      <c r="F477" s="25">
        <v>0.0</v>
      </c>
      <c r="G477" s="29"/>
      <c r="H477" s="27">
        <v>0.0</v>
      </c>
      <c r="I477" s="27">
        <v>0.0</v>
      </c>
      <c r="J477" s="10"/>
    </row>
    <row r="478">
      <c r="A478" s="22"/>
      <c r="B478" s="10"/>
      <c r="E478" s="10"/>
      <c r="F478" s="25">
        <v>0.0</v>
      </c>
      <c r="G478" s="29"/>
      <c r="H478" s="27">
        <v>0.0</v>
      </c>
      <c r="I478" s="27">
        <v>0.0</v>
      </c>
      <c r="J478" s="10"/>
    </row>
    <row r="479">
      <c r="A479" s="22"/>
      <c r="B479" s="10"/>
      <c r="E479" s="10"/>
      <c r="F479" s="25">
        <v>0.0</v>
      </c>
      <c r="G479" s="29"/>
      <c r="H479" s="27">
        <v>0.0</v>
      </c>
      <c r="I479" s="27">
        <v>0.0</v>
      </c>
      <c r="J479" s="10"/>
    </row>
    <row r="480">
      <c r="A480" s="22"/>
      <c r="B480" s="10"/>
      <c r="E480" s="10"/>
      <c r="F480" s="25">
        <v>0.0</v>
      </c>
      <c r="G480" s="29"/>
      <c r="H480" s="27">
        <v>0.0</v>
      </c>
      <c r="I480" s="27">
        <v>0.0</v>
      </c>
      <c r="J480" s="10"/>
    </row>
    <row r="481">
      <c r="A481" s="22"/>
      <c r="B481" s="10"/>
      <c r="E481" s="10"/>
      <c r="F481" s="25">
        <v>0.0</v>
      </c>
      <c r="G481" s="29"/>
      <c r="H481" s="27">
        <v>0.0</v>
      </c>
      <c r="I481" s="27">
        <v>0.0</v>
      </c>
      <c r="J481" s="10"/>
    </row>
    <row r="482">
      <c r="A482" s="22"/>
      <c r="B482" s="10"/>
      <c r="E482" s="10"/>
      <c r="F482" s="25">
        <v>0.0</v>
      </c>
      <c r="G482" s="29"/>
      <c r="H482" s="27">
        <v>0.0</v>
      </c>
      <c r="I482" s="27">
        <v>0.0</v>
      </c>
      <c r="J482" s="10"/>
    </row>
    <row r="483">
      <c r="A483" s="22"/>
      <c r="B483" s="10"/>
      <c r="E483" s="10"/>
      <c r="F483" s="25">
        <v>0.0</v>
      </c>
      <c r="G483" s="29"/>
      <c r="H483" s="27">
        <v>0.0</v>
      </c>
      <c r="I483" s="27">
        <v>0.0</v>
      </c>
      <c r="J483" s="10"/>
    </row>
    <row r="484">
      <c r="A484" s="22"/>
      <c r="B484" s="10"/>
      <c r="E484" s="10"/>
      <c r="F484" s="25">
        <v>0.0</v>
      </c>
      <c r="G484" s="29"/>
      <c r="H484" s="27">
        <v>0.0</v>
      </c>
      <c r="I484" s="27">
        <v>0.0</v>
      </c>
      <c r="J484" s="10"/>
    </row>
    <row r="485">
      <c r="A485" s="22"/>
      <c r="B485" s="10"/>
      <c r="E485" s="10"/>
      <c r="F485" s="25">
        <v>0.0</v>
      </c>
      <c r="G485" s="29"/>
      <c r="H485" s="27">
        <v>0.0</v>
      </c>
      <c r="I485" s="27">
        <v>0.0</v>
      </c>
      <c r="J485" s="10"/>
    </row>
    <row r="486">
      <c r="A486" s="22"/>
      <c r="B486" s="10"/>
      <c r="E486" s="10"/>
      <c r="F486" s="25">
        <v>0.0</v>
      </c>
      <c r="G486" s="29"/>
      <c r="H486" s="27">
        <v>0.0</v>
      </c>
      <c r="I486" s="27">
        <v>0.0</v>
      </c>
      <c r="J486" s="10"/>
    </row>
    <row r="487">
      <c r="A487" s="22"/>
      <c r="B487" s="10"/>
      <c r="E487" s="10"/>
      <c r="F487" s="25">
        <v>0.0</v>
      </c>
      <c r="G487" s="29"/>
      <c r="H487" s="27">
        <v>0.0</v>
      </c>
      <c r="I487" s="27">
        <v>0.0</v>
      </c>
      <c r="J487" s="10"/>
    </row>
    <row r="488">
      <c r="A488" s="22"/>
      <c r="B488" s="10"/>
      <c r="E488" s="10"/>
      <c r="F488" s="25">
        <v>0.0</v>
      </c>
      <c r="G488" s="29"/>
      <c r="H488" s="27">
        <v>0.0</v>
      </c>
      <c r="I488" s="27">
        <v>0.0</v>
      </c>
      <c r="J488" s="10"/>
    </row>
    <row r="489">
      <c r="A489" s="22"/>
      <c r="B489" s="10"/>
      <c r="E489" s="10"/>
      <c r="F489" s="25">
        <v>0.0</v>
      </c>
      <c r="G489" s="29"/>
      <c r="H489" s="27">
        <v>0.0</v>
      </c>
      <c r="I489" s="27">
        <v>0.0</v>
      </c>
      <c r="J489" s="10"/>
    </row>
    <row r="490">
      <c r="A490" s="22"/>
      <c r="B490" s="10"/>
      <c r="E490" s="10"/>
      <c r="F490" s="25">
        <v>0.0</v>
      </c>
      <c r="G490" s="29"/>
      <c r="H490" s="27">
        <v>0.0</v>
      </c>
      <c r="I490" s="27">
        <v>0.0</v>
      </c>
      <c r="J490" s="10"/>
    </row>
    <row r="491">
      <c r="A491" s="22"/>
      <c r="B491" s="10"/>
      <c r="E491" s="10"/>
      <c r="F491" s="25">
        <v>0.0</v>
      </c>
      <c r="G491" s="29"/>
      <c r="H491" s="27">
        <v>0.0</v>
      </c>
      <c r="I491" s="27">
        <v>0.0</v>
      </c>
      <c r="J491" s="10"/>
    </row>
    <row r="492">
      <c r="A492" s="22"/>
      <c r="B492" s="10"/>
      <c r="E492" s="10"/>
      <c r="F492" s="25">
        <v>0.0</v>
      </c>
      <c r="G492" s="29"/>
      <c r="H492" s="27">
        <v>0.0</v>
      </c>
      <c r="I492" s="27">
        <v>0.0</v>
      </c>
      <c r="J492" s="10"/>
    </row>
    <row r="493">
      <c r="A493" s="22"/>
      <c r="B493" s="10"/>
      <c r="E493" s="10"/>
      <c r="F493" s="25">
        <v>0.0</v>
      </c>
      <c r="G493" s="29"/>
      <c r="H493" s="27">
        <v>0.0</v>
      </c>
      <c r="I493" s="27">
        <v>0.0</v>
      </c>
      <c r="J493" s="10"/>
    </row>
    <row r="494">
      <c r="A494" s="22"/>
      <c r="B494" s="10"/>
      <c r="E494" s="10"/>
      <c r="F494" s="25">
        <v>0.0</v>
      </c>
      <c r="G494" s="29"/>
      <c r="H494" s="27">
        <v>0.0</v>
      </c>
      <c r="I494" s="27">
        <v>0.0</v>
      </c>
      <c r="J494" s="10"/>
    </row>
    <row r="495">
      <c r="A495" s="22"/>
      <c r="B495" s="10"/>
      <c r="E495" s="10"/>
      <c r="F495" s="25">
        <v>0.0</v>
      </c>
      <c r="G495" s="29"/>
      <c r="H495" s="27">
        <v>0.0</v>
      </c>
      <c r="I495" s="27">
        <v>0.0</v>
      </c>
      <c r="J495" s="10"/>
    </row>
    <row r="496">
      <c r="A496" s="22"/>
      <c r="B496" s="10"/>
      <c r="E496" s="10"/>
      <c r="F496" s="25">
        <v>0.0</v>
      </c>
      <c r="G496" s="29"/>
      <c r="H496" s="27">
        <v>0.0</v>
      </c>
      <c r="I496" s="27">
        <v>0.0</v>
      </c>
      <c r="J496" s="10"/>
    </row>
    <row r="497">
      <c r="A497" s="22"/>
      <c r="B497" s="10"/>
      <c r="E497" s="10"/>
      <c r="F497" s="25">
        <v>0.0</v>
      </c>
      <c r="G497" s="29"/>
      <c r="H497" s="27">
        <v>0.0</v>
      </c>
      <c r="I497" s="27">
        <v>0.0</v>
      </c>
      <c r="J497" s="10"/>
    </row>
    <row r="498">
      <c r="A498" s="22"/>
      <c r="B498" s="10"/>
      <c r="E498" s="10"/>
      <c r="F498" s="25">
        <v>0.0</v>
      </c>
      <c r="G498" s="29"/>
      <c r="H498" s="27">
        <v>0.0</v>
      </c>
      <c r="I498" s="27">
        <v>0.0</v>
      </c>
      <c r="J498" s="10"/>
    </row>
    <row r="499">
      <c r="A499" s="22"/>
      <c r="B499" s="10"/>
      <c r="E499" s="10"/>
      <c r="F499" s="25">
        <v>0.0</v>
      </c>
      <c r="G499" s="29"/>
      <c r="H499" s="27">
        <v>0.0</v>
      </c>
      <c r="I499" s="27">
        <v>0.0</v>
      </c>
      <c r="J499" s="10"/>
    </row>
    <row r="500">
      <c r="A500" s="22"/>
      <c r="B500" s="10"/>
      <c r="E500" s="10"/>
      <c r="F500" s="25">
        <v>0.0</v>
      </c>
      <c r="G500" s="29"/>
      <c r="H500" s="27">
        <v>0.0</v>
      </c>
      <c r="I500" s="27">
        <v>0.0</v>
      </c>
      <c r="J500" s="10"/>
    </row>
    <row r="501">
      <c r="A501" s="22"/>
      <c r="B501" s="10"/>
      <c r="E501" s="10"/>
      <c r="F501" s="25">
        <v>0.0</v>
      </c>
      <c r="G501" s="29"/>
      <c r="H501" s="27">
        <v>0.0</v>
      </c>
      <c r="I501" s="27">
        <v>0.0</v>
      </c>
      <c r="J501" s="10"/>
    </row>
    <row r="502">
      <c r="A502" s="22"/>
      <c r="B502" s="10"/>
      <c r="E502" s="10"/>
      <c r="F502" s="25">
        <v>0.0</v>
      </c>
      <c r="G502" s="29"/>
      <c r="H502" s="27">
        <v>0.0</v>
      </c>
      <c r="I502" s="27">
        <v>0.0</v>
      </c>
      <c r="J502" s="10"/>
    </row>
    <row r="503">
      <c r="A503" s="22"/>
      <c r="B503" s="10"/>
      <c r="E503" s="10"/>
      <c r="F503" s="25">
        <v>0.0</v>
      </c>
      <c r="G503" s="29"/>
      <c r="H503" s="27">
        <v>0.0</v>
      </c>
      <c r="I503" s="27">
        <v>0.0</v>
      </c>
      <c r="J503" s="10"/>
    </row>
    <row r="504">
      <c r="A504" s="22"/>
      <c r="B504" s="10"/>
      <c r="E504" s="10"/>
      <c r="F504" s="25">
        <v>0.0</v>
      </c>
      <c r="G504" s="29"/>
      <c r="H504" s="27">
        <v>0.0</v>
      </c>
      <c r="I504" s="27">
        <v>0.0</v>
      </c>
      <c r="J504" s="10"/>
    </row>
    <row r="505">
      <c r="A505" s="22"/>
      <c r="B505" s="10"/>
      <c r="E505" s="10"/>
      <c r="F505" s="25">
        <v>0.0</v>
      </c>
      <c r="G505" s="29"/>
      <c r="H505" s="27">
        <v>0.0</v>
      </c>
      <c r="I505" s="27">
        <v>0.0</v>
      </c>
      <c r="J505" s="10"/>
    </row>
    <row r="506">
      <c r="A506" s="22"/>
      <c r="B506" s="10"/>
      <c r="E506" s="10"/>
      <c r="F506" s="25">
        <v>0.0</v>
      </c>
      <c r="G506" s="29"/>
      <c r="H506" s="27">
        <v>0.0</v>
      </c>
      <c r="I506" s="27">
        <v>0.0</v>
      </c>
      <c r="J506" s="10"/>
    </row>
    <row r="507">
      <c r="A507" s="22"/>
      <c r="B507" s="10"/>
      <c r="E507" s="10"/>
      <c r="F507" s="25">
        <v>0.0</v>
      </c>
      <c r="G507" s="29"/>
      <c r="H507" s="27">
        <v>0.0</v>
      </c>
      <c r="I507" s="27">
        <v>0.0</v>
      </c>
      <c r="J507" s="10"/>
    </row>
    <row r="508">
      <c r="A508" s="22"/>
      <c r="B508" s="10"/>
      <c r="E508" s="10"/>
      <c r="F508" s="25">
        <v>0.0</v>
      </c>
      <c r="G508" s="29"/>
      <c r="H508" s="27">
        <v>0.0</v>
      </c>
      <c r="I508" s="27">
        <v>0.0</v>
      </c>
      <c r="J508" s="10"/>
    </row>
    <row r="509">
      <c r="A509" s="22"/>
      <c r="B509" s="10"/>
      <c r="E509" s="10"/>
      <c r="F509" s="25">
        <v>0.0</v>
      </c>
      <c r="G509" s="29"/>
      <c r="H509" s="27">
        <v>0.0</v>
      </c>
      <c r="I509" s="27">
        <v>0.0</v>
      </c>
      <c r="J509" s="10"/>
    </row>
    <row r="510">
      <c r="A510" s="22"/>
      <c r="B510" s="10"/>
      <c r="E510" s="10"/>
      <c r="F510" s="25">
        <v>0.0</v>
      </c>
      <c r="G510" s="29"/>
      <c r="H510" s="27">
        <v>0.0</v>
      </c>
      <c r="I510" s="27">
        <v>0.0</v>
      </c>
      <c r="J510" s="10"/>
    </row>
    <row r="511">
      <c r="A511" s="22"/>
      <c r="B511" s="10"/>
      <c r="E511" s="10"/>
      <c r="F511" s="25">
        <v>0.0</v>
      </c>
      <c r="G511" s="29"/>
      <c r="H511" s="27">
        <v>0.0</v>
      </c>
      <c r="I511" s="27">
        <v>0.0</v>
      </c>
      <c r="J511" s="10"/>
    </row>
    <row r="512">
      <c r="A512" s="22"/>
      <c r="B512" s="10"/>
      <c r="E512" s="10"/>
      <c r="F512" s="25">
        <v>0.0</v>
      </c>
      <c r="G512" s="29"/>
      <c r="H512" s="27">
        <v>0.0</v>
      </c>
      <c r="I512" s="27">
        <v>0.0</v>
      </c>
      <c r="J512" s="10"/>
    </row>
    <row r="513">
      <c r="A513" s="22"/>
      <c r="B513" s="10"/>
      <c r="E513" s="10"/>
      <c r="F513" s="25">
        <v>0.0</v>
      </c>
      <c r="G513" s="29"/>
      <c r="H513" s="27">
        <v>0.0</v>
      </c>
      <c r="I513" s="27">
        <v>0.0</v>
      </c>
      <c r="J513" s="10"/>
    </row>
    <row r="514">
      <c r="A514" s="22"/>
      <c r="B514" s="10"/>
      <c r="E514" s="10"/>
      <c r="F514" s="25">
        <v>0.0</v>
      </c>
      <c r="G514" s="29"/>
      <c r="H514" s="27">
        <v>0.0</v>
      </c>
      <c r="I514" s="27">
        <v>0.0</v>
      </c>
      <c r="J514" s="10"/>
    </row>
    <row r="515">
      <c r="A515" s="22"/>
      <c r="B515" s="10"/>
      <c r="E515" s="10"/>
      <c r="F515" s="25">
        <v>0.0</v>
      </c>
      <c r="G515" s="29"/>
      <c r="H515" s="27">
        <v>0.0</v>
      </c>
      <c r="I515" s="27">
        <v>0.0</v>
      </c>
      <c r="J515" s="10"/>
    </row>
    <row r="516">
      <c r="A516" s="22"/>
      <c r="B516" s="10"/>
      <c r="E516" s="10"/>
      <c r="F516" s="25">
        <v>0.0</v>
      </c>
      <c r="G516" s="29"/>
      <c r="H516" s="27">
        <v>0.0</v>
      </c>
      <c r="I516" s="27">
        <v>0.0</v>
      </c>
      <c r="J516" s="10"/>
    </row>
    <row r="517">
      <c r="A517" s="22"/>
      <c r="B517" s="10"/>
      <c r="E517" s="10"/>
      <c r="F517" s="25">
        <v>0.0</v>
      </c>
      <c r="G517" s="29"/>
      <c r="H517" s="27">
        <v>0.0</v>
      </c>
      <c r="I517" s="27">
        <v>0.0</v>
      </c>
      <c r="J517" s="10"/>
    </row>
    <row r="518">
      <c r="A518" s="22"/>
      <c r="B518" s="10"/>
      <c r="E518" s="10"/>
      <c r="F518" s="25">
        <v>0.0</v>
      </c>
      <c r="G518" s="29"/>
      <c r="H518" s="27">
        <v>0.0</v>
      </c>
      <c r="I518" s="27">
        <v>0.0</v>
      </c>
      <c r="J518" s="10"/>
    </row>
    <row r="519">
      <c r="A519" s="22"/>
      <c r="B519" s="10"/>
      <c r="E519" s="10"/>
      <c r="F519" s="25">
        <v>0.0</v>
      </c>
      <c r="G519" s="29"/>
      <c r="H519" s="27">
        <v>0.0</v>
      </c>
      <c r="I519" s="27">
        <v>0.0</v>
      </c>
      <c r="J519" s="10"/>
    </row>
    <row r="520">
      <c r="A520" s="22"/>
      <c r="B520" s="10"/>
      <c r="E520" s="10"/>
      <c r="F520" s="25">
        <v>0.0</v>
      </c>
      <c r="G520" s="29"/>
      <c r="H520" s="27">
        <v>0.0</v>
      </c>
      <c r="I520" s="27">
        <v>0.0</v>
      </c>
      <c r="J520" s="10"/>
    </row>
    <row r="521">
      <c r="A521" s="22"/>
      <c r="B521" s="10"/>
      <c r="E521" s="10"/>
      <c r="F521" s="25">
        <v>0.0</v>
      </c>
      <c r="G521" s="29"/>
      <c r="H521" s="27">
        <v>0.0</v>
      </c>
      <c r="I521" s="27">
        <v>0.0</v>
      </c>
      <c r="J521" s="10"/>
    </row>
    <row r="522">
      <c r="A522" s="22"/>
      <c r="B522" s="10"/>
      <c r="E522" s="10"/>
      <c r="F522" s="25">
        <v>0.0</v>
      </c>
      <c r="G522" s="29"/>
      <c r="H522" s="27">
        <v>0.0</v>
      </c>
      <c r="I522" s="27">
        <v>0.0</v>
      </c>
      <c r="J522" s="10"/>
    </row>
    <row r="523">
      <c r="A523" s="22"/>
      <c r="B523" s="10"/>
      <c r="E523" s="10"/>
      <c r="F523" s="25">
        <v>0.0</v>
      </c>
      <c r="G523" s="29"/>
      <c r="H523" s="27">
        <v>0.0</v>
      </c>
      <c r="I523" s="27">
        <v>0.0</v>
      </c>
      <c r="J523" s="10"/>
    </row>
    <row r="524">
      <c r="A524" s="22"/>
      <c r="B524" s="10"/>
      <c r="E524" s="10"/>
      <c r="F524" s="25">
        <v>0.0</v>
      </c>
      <c r="G524" s="29"/>
      <c r="H524" s="27">
        <v>0.0</v>
      </c>
      <c r="I524" s="27">
        <v>0.0</v>
      </c>
      <c r="J524" s="10"/>
    </row>
    <row r="525">
      <c r="A525" s="22"/>
      <c r="B525" s="10"/>
      <c r="E525" s="10"/>
      <c r="F525" s="25">
        <v>0.0</v>
      </c>
      <c r="G525" s="29"/>
      <c r="H525" s="27">
        <v>0.0</v>
      </c>
      <c r="I525" s="27">
        <v>0.0</v>
      </c>
      <c r="J525" s="10"/>
    </row>
    <row r="526">
      <c r="A526" s="22"/>
      <c r="B526" s="10"/>
      <c r="E526" s="10"/>
      <c r="F526" s="25">
        <v>0.0</v>
      </c>
      <c r="G526" s="29"/>
      <c r="H526" s="27">
        <v>0.0</v>
      </c>
      <c r="I526" s="27">
        <v>0.0</v>
      </c>
      <c r="J526" s="10"/>
    </row>
    <row r="527">
      <c r="A527" s="22"/>
      <c r="B527" s="10"/>
      <c r="E527" s="10"/>
      <c r="F527" s="25">
        <v>0.0</v>
      </c>
      <c r="G527" s="29"/>
      <c r="H527" s="27">
        <v>0.0</v>
      </c>
      <c r="I527" s="27">
        <v>0.0</v>
      </c>
      <c r="J527" s="10"/>
    </row>
    <row r="528">
      <c r="A528" s="22"/>
      <c r="B528" s="10"/>
      <c r="E528" s="10"/>
      <c r="F528" s="25">
        <v>0.0</v>
      </c>
      <c r="G528" s="29"/>
      <c r="H528" s="27">
        <v>0.0</v>
      </c>
      <c r="I528" s="27">
        <v>0.0</v>
      </c>
      <c r="J528" s="10"/>
    </row>
    <row r="529">
      <c r="A529" s="22"/>
      <c r="B529" s="10"/>
      <c r="E529" s="10"/>
      <c r="F529" s="25">
        <v>0.0</v>
      </c>
      <c r="G529" s="29"/>
      <c r="H529" s="27">
        <v>0.0</v>
      </c>
      <c r="I529" s="27">
        <v>0.0</v>
      </c>
      <c r="J529" s="10"/>
    </row>
    <row r="530">
      <c r="A530" s="22"/>
      <c r="B530" s="10"/>
      <c r="E530" s="10"/>
      <c r="F530" s="25">
        <v>0.0</v>
      </c>
      <c r="G530" s="29"/>
      <c r="H530" s="27">
        <v>0.0</v>
      </c>
      <c r="I530" s="27">
        <v>0.0</v>
      </c>
      <c r="J530" s="10"/>
    </row>
    <row r="531">
      <c r="A531" s="22"/>
      <c r="B531" s="10"/>
      <c r="E531" s="10"/>
      <c r="F531" s="25">
        <v>0.0</v>
      </c>
      <c r="G531" s="29"/>
      <c r="H531" s="27">
        <v>0.0</v>
      </c>
      <c r="I531" s="27">
        <v>0.0</v>
      </c>
      <c r="J531" s="10"/>
    </row>
    <row r="532">
      <c r="A532" s="22"/>
      <c r="B532" s="10"/>
      <c r="E532" s="10"/>
      <c r="F532" s="25">
        <v>0.0</v>
      </c>
      <c r="G532" s="29"/>
      <c r="H532" s="27">
        <v>0.0</v>
      </c>
      <c r="I532" s="27">
        <v>0.0</v>
      </c>
      <c r="J532" s="10"/>
    </row>
    <row r="533">
      <c r="A533" s="22"/>
      <c r="B533" s="10"/>
      <c r="E533" s="10"/>
      <c r="F533" s="25">
        <v>0.0</v>
      </c>
      <c r="G533" s="29"/>
      <c r="H533" s="27">
        <v>0.0</v>
      </c>
      <c r="I533" s="27">
        <v>0.0</v>
      </c>
      <c r="J533" s="10"/>
    </row>
    <row r="534">
      <c r="A534" s="22"/>
      <c r="B534" s="10"/>
      <c r="E534" s="10"/>
      <c r="F534" s="25">
        <v>0.0</v>
      </c>
      <c r="G534" s="29"/>
      <c r="H534" s="27">
        <v>0.0</v>
      </c>
      <c r="I534" s="27">
        <v>0.0</v>
      </c>
      <c r="J534" s="10"/>
    </row>
    <row r="535">
      <c r="A535" s="22"/>
      <c r="B535" s="10"/>
      <c r="E535" s="10"/>
      <c r="F535" s="25">
        <v>0.0</v>
      </c>
      <c r="G535" s="29"/>
      <c r="H535" s="27">
        <v>0.0</v>
      </c>
      <c r="I535" s="27">
        <v>0.0</v>
      </c>
      <c r="J535" s="10"/>
    </row>
    <row r="536">
      <c r="A536" s="22"/>
      <c r="B536" s="10"/>
      <c r="E536" s="10"/>
      <c r="F536" s="25">
        <v>0.0</v>
      </c>
      <c r="G536" s="29"/>
      <c r="H536" s="27">
        <v>0.0</v>
      </c>
      <c r="I536" s="27">
        <v>0.0</v>
      </c>
      <c r="J536" s="10"/>
    </row>
    <row r="537">
      <c r="A537" s="22"/>
      <c r="B537" s="10"/>
      <c r="E537" s="10"/>
      <c r="F537" s="25">
        <v>0.0</v>
      </c>
      <c r="G537" s="29"/>
      <c r="H537" s="27">
        <v>0.0</v>
      </c>
      <c r="I537" s="27">
        <v>0.0</v>
      </c>
      <c r="J537" s="10"/>
    </row>
    <row r="538">
      <c r="A538" s="22"/>
      <c r="B538" s="10"/>
      <c r="E538" s="10"/>
      <c r="F538" s="25">
        <v>0.0</v>
      </c>
      <c r="G538" s="29"/>
      <c r="H538" s="27">
        <v>0.0</v>
      </c>
      <c r="I538" s="27">
        <v>0.0</v>
      </c>
      <c r="J538" s="10"/>
    </row>
    <row r="539">
      <c r="A539" s="22"/>
      <c r="B539" s="10"/>
      <c r="E539" s="10"/>
      <c r="F539" s="25">
        <v>0.0</v>
      </c>
      <c r="G539" s="29"/>
      <c r="H539" s="27">
        <v>0.0</v>
      </c>
      <c r="I539" s="27">
        <v>0.0</v>
      </c>
      <c r="J539" s="10"/>
    </row>
    <row r="540">
      <c r="A540" s="22"/>
      <c r="B540" s="10"/>
      <c r="E540" s="10"/>
      <c r="F540" s="25">
        <v>0.0</v>
      </c>
      <c r="G540" s="29"/>
      <c r="H540" s="27">
        <v>0.0</v>
      </c>
      <c r="I540" s="27">
        <v>0.0</v>
      </c>
      <c r="J540" s="10"/>
    </row>
    <row r="541">
      <c r="A541" s="22"/>
      <c r="B541" s="10"/>
      <c r="E541" s="10"/>
      <c r="F541" s="25">
        <v>0.0</v>
      </c>
      <c r="G541" s="29"/>
      <c r="H541" s="27">
        <v>0.0</v>
      </c>
      <c r="I541" s="27">
        <v>0.0</v>
      </c>
      <c r="J541" s="10"/>
    </row>
    <row r="542">
      <c r="A542" s="22"/>
      <c r="B542" s="10"/>
      <c r="E542" s="10"/>
      <c r="F542" s="25">
        <v>0.0</v>
      </c>
      <c r="G542" s="29"/>
      <c r="H542" s="27">
        <v>0.0</v>
      </c>
      <c r="I542" s="27">
        <v>0.0</v>
      </c>
      <c r="J542" s="10"/>
    </row>
    <row r="543">
      <c r="A543" s="22"/>
      <c r="B543" s="10"/>
      <c r="E543" s="10"/>
      <c r="F543" s="25">
        <v>0.0</v>
      </c>
      <c r="G543" s="29"/>
      <c r="H543" s="27">
        <v>0.0</v>
      </c>
      <c r="I543" s="27">
        <v>0.0</v>
      </c>
      <c r="J543" s="10"/>
    </row>
    <row r="544">
      <c r="A544" s="22"/>
      <c r="B544" s="10"/>
      <c r="E544" s="10"/>
      <c r="F544" s="25">
        <v>0.0</v>
      </c>
      <c r="G544" s="29"/>
      <c r="H544" s="27">
        <v>0.0</v>
      </c>
      <c r="I544" s="27">
        <v>0.0</v>
      </c>
      <c r="J544" s="10"/>
    </row>
    <row r="545">
      <c r="A545" s="22"/>
      <c r="B545" s="10"/>
      <c r="E545" s="10"/>
      <c r="F545" s="25">
        <v>0.0</v>
      </c>
      <c r="G545" s="29"/>
      <c r="H545" s="27">
        <v>0.0</v>
      </c>
      <c r="I545" s="27">
        <v>0.0</v>
      </c>
      <c r="J545" s="10"/>
    </row>
    <row r="546">
      <c r="A546" s="22"/>
      <c r="B546" s="10"/>
      <c r="E546" s="10"/>
      <c r="F546" s="25">
        <v>0.0</v>
      </c>
      <c r="G546" s="29"/>
      <c r="H546" s="27">
        <v>0.0</v>
      </c>
      <c r="I546" s="27">
        <v>0.0</v>
      </c>
      <c r="J546" s="10"/>
    </row>
    <row r="547">
      <c r="A547" s="22"/>
      <c r="B547" s="10"/>
      <c r="E547" s="10"/>
      <c r="F547" s="25">
        <v>0.0</v>
      </c>
      <c r="G547" s="29"/>
      <c r="H547" s="27">
        <v>0.0</v>
      </c>
      <c r="I547" s="27">
        <v>0.0</v>
      </c>
      <c r="J547" s="10"/>
    </row>
    <row r="548">
      <c r="A548" s="22"/>
      <c r="B548" s="10"/>
      <c r="E548" s="10"/>
      <c r="F548" s="25">
        <v>0.0</v>
      </c>
      <c r="G548" s="29"/>
      <c r="H548" s="27">
        <v>0.0</v>
      </c>
      <c r="I548" s="27">
        <v>0.0</v>
      </c>
      <c r="J548" s="10"/>
    </row>
    <row r="549">
      <c r="A549" s="22"/>
      <c r="B549" s="10"/>
      <c r="E549" s="10"/>
      <c r="F549" s="25">
        <v>0.0</v>
      </c>
      <c r="G549" s="29"/>
      <c r="H549" s="27">
        <v>0.0</v>
      </c>
      <c r="I549" s="27">
        <v>0.0</v>
      </c>
      <c r="J549" s="10"/>
    </row>
    <row r="550">
      <c r="A550" s="22"/>
      <c r="B550" s="10"/>
      <c r="E550" s="10"/>
      <c r="F550" s="25">
        <v>0.0</v>
      </c>
      <c r="G550" s="29"/>
      <c r="H550" s="27">
        <v>0.0</v>
      </c>
      <c r="I550" s="27">
        <v>0.0</v>
      </c>
      <c r="J550" s="10"/>
    </row>
    <row r="551">
      <c r="A551" s="22"/>
      <c r="B551" s="10"/>
      <c r="E551" s="10"/>
      <c r="F551" s="25">
        <v>0.0</v>
      </c>
      <c r="G551" s="29"/>
      <c r="H551" s="27">
        <v>0.0</v>
      </c>
      <c r="I551" s="27">
        <v>0.0</v>
      </c>
      <c r="J551" s="10"/>
    </row>
    <row r="552">
      <c r="A552" s="22"/>
      <c r="B552" s="10"/>
      <c r="E552" s="10"/>
      <c r="F552" s="25">
        <v>0.0</v>
      </c>
      <c r="G552" s="29"/>
      <c r="H552" s="27">
        <v>0.0</v>
      </c>
      <c r="I552" s="27">
        <v>0.0</v>
      </c>
      <c r="J552" s="10"/>
    </row>
    <row r="553">
      <c r="A553" s="22"/>
      <c r="B553" s="10"/>
      <c r="E553" s="10"/>
      <c r="F553" s="25">
        <v>0.0</v>
      </c>
      <c r="G553" s="29"/>
      <c r="H553" s="27">
        <v>0.0</v>
      </c>
      <c r="I553" s="27">
        <v>0.0</v>
      </c>
      <c r="J553" s="10"/>
    </row>
    <row r="554">
      <c r="A554" s="22"/>
      <c r="B554" s="10"/>
      <c r="E554" s="10"/>
      <c r="F554" s="25">
        <v>0.0</v>
      </c>
      <c r="G554" s="29"/>
      <c r="H554" s="27">
        <v>0.0</v>
      </c>
      <c r="I554" s="27">
        <v>0.0</v>
      </c>
      <c r="J554" s="10"/>
    </row>
    <row r="555">
      <c r="A555" s="22"/>
      <c r="B555" s="10"/>
      <c r="E555" s="10"/>
      <c r="F555" s="25">
        <v>0.0</v>
      </c>
      <c r="G555" s="29"/>
      <c r="H555" s="27">
        <v>0.0</v>
      </c>
      <c r="I555" s="27">
        <v>0.0</v>
      </c>
      <c r="J555" s="10"/>
    </row>
    <row r="556">
      <c r="A556" s="22"/>
      <c r="B556" s="10"/>
      <c r="E556" s="10"/>
      <c r="F556" s="25">
        <v>0.0</v>
      </c>
      <c r="G556" s="29"/>
      <c r="H556" s="27">
        <v>0.0</v>
      </c>
      <c r="I556" s="27">
        <v>0.0</v>
      </c>
      <c r="J556" s="10"/>
    </row>
    <row r="557">
      <c r="A557" s="22"/>
      <c r="B557" s="10"/>
      <c r="E557" s="10"/>
      <c r="F557" s="25">
        <v>0.0</v>
      </c>
      <c r="G557" s="29"/>
      <c r="H557" s="27">
        <v>0.0</v>
      </c>
      <c r="I557" s="27">
        <v>0.0</v>
      </c>
      <c r="J557" s="10"/>
    </row>
    <row r="558">
      <c r="A558" s="22"/>
      <c r="B558" s="10"/>
      <c r="E558" s="10"/>
      <c r="F558" s="25">
        <v>0.0</v>
      </c>
      <c r="G558" s="29"/>
      <c r="H558" s="27">
        <v>0.0</v>
      </c>
      <c r="I558" s="27">
        <v>0.0</v>
      </c>
      <c r="J558" s="10"/>
    </row>
    <row r="559">
      <c r="A559" s="22"/>
      <c r="B559" s="10"/>
      <c r="E559" s="10"/>
      <c r="F559" s="25">
        <v>0.0</v>
      </c>
      <c r="G559" s="29"/>
      <c r="H559" s="27">
        <v>0.0</v>
      </c>
      <c r="I559" s="27">
        <v>0.0</v>
      </c>
      <c r="J559" s="10"/>
    </row>
    <row r="560">
      <c r="A560" s="22"/>
      <c r="B560" s="10"/>
      <c r="E560" s="10"/>
      <c r="F560" s="25">
        <v>0.0</v>
      </c>
      <c r="G560" s="29"/>
      <c r="H560" s="27">
        <v>0.0</v>
      </c>
      <c r="I560" s="27">
        <v>0.0</v>
      </c>
      <c r="J560" s="10"/>
    </row>
    <row r="561">
      <c r="A561" s="22"/>
      <c r="B561" s="10"/>
      <c r="E561" s="10"/>
      <c r="F561" s="25">
        <v>0.0</v>
      </c>
      <c r="G561" s="29"/>
      <c r="H561" s="27">
        <v>0.0</v>
      </c>
      <c r="I561" s="27">
        <v>0.0</v>
      </c>
      <c r="J561" s="10"/>
    </row>
    <row r="562">
      <c r="A562" s="22"/>
      <c r="B562" s="10"/>
      <c r="E562" s="10"/>
      <c r="F562" s="25">
        <v>0.0</v>
      </c>
      <c r="G562" s="29"/>
      <c r="H562" s="27">
        <v>0.0</v>
      </c>
      <c r="I562" s="27">
        <v>0.0</v>
      </c>
      <c r="J562" s="10"/>
    </row>
    <row r="563">
      <c r="A563" s="22"/>
      <c r="B563" s="10"/>
      <c r="E563" s="10"/>
      <c r="F563" s="25">
        <v>0.0</v>
      </c>
      <c r="G563" s="29"/>
      <c r="H563" s="27">
        <v>0.0</v>
      </c>
      <c r="I563" s="27">
        <v>0.0</v>
      </c>
      <c r="J563" s="10"/>
    </row>
    <row r="564">
      <c r="A564" s="22"/>
      <c r="B564" s="10"/>
      <c r="E564" s="10"/>
      <c r="F564" s="25">
        <v>0.0</v>
      </c>
      <c r="G564" s="29"/>
      <c r="H564" s="27">
        <v>0.0</v>
      </c>
      <c r="I564" s="27">
        <v>0.0</v>
      </c>
      <c r="J564" s="10"/>
    </row>
    <row r="565">
      <c r="A565" s="22"/>
      <c r="B565" s="10"/>
      <c r="E565" s="10"/>
      <c r="F565" s="25">
        <v>0.0</v>
      </c>
      <c r="G565" s="29"/>
      <c r="H565" s="27">
        <v>0.0</v>
      </c>
      <c r="I565" s="27">
        <v>0.0</v>
      </c>
      <c r="J565" s="10"/>
    </row>
    <row r="566">
      <c r="A566" s="22"/>
      <c r="B566" s="10"/>
      <c r="E566" s="10"/>
      <c r="F566" s="25">
        <v>0.0</v>
      </c>
      <c r="G566" s="29"/>
      <c r="H566" s="27">
        <v>0.0</v>
      </c>
      <c r="I566" s="27">
        <v>0.0</v>
      </c>
      <c r="J566" s="10"/>
    </row>
    <row r="567">
      <c r="A567" s="22"/>
      <c r="B567" s="10"/>
      <c r="E567" s="10"/>
      <c r="F567" s="25">
        <v>0.0</v>
      </c>
      <c r="G567" s="29"/>
      <c r="H567" s="27">
        <v>0.0</v>
      </c>
      <c r="I567" s="27">
        <v>0.0</v>
      </c>
      <c r="J567" s="10"/>
    </row>
    <row r="568">
      <c r="A568" s="22"/>
      <c r="B568" s="10"/>
      <c r="E568" s="10"/>
      <c r="F568" s="25">
        <v>0.0</v>
      </c>
      <c r="G568" s="29"/>
      <c r="H568" s="27">
        <v>0.0</v>
      </c>
      <c r="I568" s="27">
        <v>0.0</v>
      </c>
      <c r="J568" s="10"/>
    </row>
    <row r="569">
      <c r="A569" s="22"/>
      <c r="B569" s="10"/>
      <c r="E569" s="10"/>
      <c r="F569" s="25">
        <v>0.0</v>
      </c>
      <c r="G569" s="29"/>
      <c r="H569" s="27">
        <v>0.0</v>
      </c>
      <c r="I569" s="27">
        <v>0.0</v>
      </c>
      <c r="J569" s="10"/>
    </row>
    <row r="570">
      <c r="A570" s="22"/>
      <c r="B570" s="10"/>
      <c r="E570" s="10"/>
      <c r="F570" s="25">
        <v>0.0</v>
      </c>
      <c r="G570" s="29"/>
      <c r="H570" s="27">
        <v>0.0</v>
      </c>
      <c r="I570" s="27">
        <v>0.0</v>
      </c>
      <c r="J570" s="10"/>
    </row>
    <row r="571">
      <c r="A571" s="22"/>
      <c r="B571" s="10"/>
      <c r="E571" s="10"/>
      <c r="F571" s="25">
        <v>0.0</v>
      </c>
      <c r="G571" s="29"/>
      <c r="H571" s="27">
        <v>0.0</v>
      </c>
      <c r="I571" s="27">
        <v>0.0</v>
      </c>
      <c r="J571" s="10"/>
    </row>
    <row r="572">
      <c r="A572" s="22"/>
      <c r="B572" s="10"/>
      <c r="E572" s="10"/>
      <c r="F572" s="25">
        <v>0.0</v>
      </c>
      <c r="G572" s="29"/>
      <c r="H572" s="27">
        <v>0.0</v>
      </c>
      <c r="I572" s="27">
        <v>0.0</v>
      </c>
      <c r="J572" s="10"/>
    </row>
    <row r="573">
      <c r="A573" s="22"/>
      <c r="B573" s="10"/>
      <c r="E573" s="10"/>
      <c r="F573" s="25">
        <v>0.0</v>
      </c>
      <c r="G573" s="29"/>
      <c r="H573" s="27">
        <v>0.0</v>
      </c>
      <c r="I573" s="27">
        <v>0.0</v>
      </c>
      <c r="J573" s="10"/>
    </row>
    <row r="574">
      <c r="A574" s="22"/>
      <c r="B574" s="10"/>
      <c r="E574" s="10"/>
      <c r="F574" s="25">
        <v>0.0</v>
      </c>
      <c r="G574" s="29"/>
      <c r="H574" s="27">
        <v>0.0</v>
      </c>
      <c r="I574" s="27">
        <v>0.0</v>
      </c>
      <c r="J574" s="10"/>
    </row>
    <row r="575">
      <c r="A575" s="22"/>
      <c r="B575" s="10"/>
      <c r="E575" s="10"/>
      <c r="F575" s="25">
        <v>0.0</v>
      </c>
      <c r="G575" s="29"/>
      <c r="H575" s="27">
        <v>0.0</v>
      </c>
      <c r="I575" s="27">
        <v>0.0</v>
      </c>
      <c r="J575" s="10"/>
    </row>
    <row r="576">
      <c r="A576" s="22"/>
      <c r="B576" s="10"/>
      <c r="E576" s="10"/>
      <c r="F576" s="25">
        <v>0.0</v>
      </c>
      <c r="G576" s="29"/>
      <c r="H576" s="27">
        <v>0.0</v>
      </c>
      <c r="I576" s="27">
        <v>0.0</v>
      </c>
      <c r="J576" s="10"/>
    </row>
    <row r="577">
      <c r="A577" s="22"/>
      <c r="B577" s="10"/>
      <c r="E577" s="10"/>
      <c r="F577" s="25">
        <v>0.0</v>
      </c>
      <c r="G577" s="29"/>
      <c r="H577" s="27">
        <v>0.0</v>
      </c>
      <c r="I577" s="27">
        <v>0.0</v>
      </c>
      <c r="J577" s="10"/>
    </row>
    <row r="578">
      <c r="A578" s="22"/>
      <c r="B578" s="10"/>
      <c r="E578" s="10"/>
      <c r="F578" s="25">
        <v>0.0</v>
      </c>
      <c r="G578" s="29"/>
      <c r="H578" s="27">
        <v>0.0</v>
      </c>
      <c r="I578" s="27">
        <v>0.0</v>
      </c>
      <c r="J578" s="10"/>
    </row>
    <row r="579">
      <c r="A579" s="22"/>
      <c r="B579" s="10"/>
      <c r="E579" s="10"/>
      <c r="F579" s="25">
        <v>0.0</v>
      </c>
      <c r="G579" s="29"/>
      <c r="H579" s="27">
        <v>0.0</v>
      </c>
      <c r="I579" s="27">
        <v>0.0</v>
      </c>
      <c r="J579" s="10"/>
    </row>
    <row r="580">
      <c r="A580" s="22"/>
      <c r="B580" s="10"/>
      <c r="E580" s="10"/>
      <c r="F580" s="25">
        <v>0.0</v>
      </c>
      <c r="G580" s="29"/>
      <c r="H580" s="27">
        <v>0.0</v>
      </c>
      <c r="I580" s="27">
        <v>0.0</v>
      </c>
      <c r="J580" s="10"/>
    </row>
    <row r="581">
      <c r="A581" s="22"/>
      <c r="B581" s="10"/>
      <c r="E581" s="10"/>
      <c r="F581" s="25">
        <v>0.0</v>
      </c>
      <c r="G581" s="29"/>
      <c r="H581" s="27">
        <v>0.0</v>
      </c>
      <c r="I581" s="27">
        <v>0.0</v>
      </c>
      <c r="J581" s="10"/>
    </row>
    <row r="582">
      <c r="A582" s="22"/>
      <c r="B582" s="10"/>
      <c r="E582" s="10"/>
      <c r="F582" s="25">
        <v>0.0</v>
      </c>
      <c r="G582" s="29"/>
      <c r="H582" s="27">
        <v>0.0</v>
      </c>
      <c r="I582" s="27">
        <v>0.0</v>
      </c>
      <c r="J582" s="10"/>
    </row>
    <row r="583">
      <c r="A583" s="22"/>
      <c r="B583" s="10"/>
      <c r="E583" s="10"/>
      <c r="F583" s="25">
        <v>0.0</v>
      </c>
      <c r="G583" s="29"/>
      <c r="H583" s="27">
        <v>0.0</v>
      </c>
      <c r="I583" s="27">
        <v>0.0</v>
      </c>
      <c r="J583" s="10"/>
    </row>
    <row r="584">
      <c r="A584" s="22"/>
      <c r="B584" s="10"/>
      <c r="E584" s="10"/>
      <c r="F584" s="25">
        <v>0.0</v>
      </c>
      <c r="G584" s="29"/>
      <c r="H584" s="27">
        <v>0.0</v>
      </c>
      <c r="I584" s="27">
        <v>0.0</v>
      </c>
      <c r="J584" s="10"/>
    </row>
    <row r="585">
      <c r="A585" s="22"/>
      <c r="B585" s="10"/>
      <c r="E585" s="10"/>
      <c r="F585" s="25">
        <v>0.0</v>
      </c>
      <c r="G585" s="29"/>
      <c r="H585" s="27">
        <v>0.0</v>
      </c>
      <c r="I585" s="27">
        <v>0.0</v>
      </c>
      <c r="J585" s="10"/>
    </row>
    <row r="586">
      <c r="A586" s="22"/>
      <c r="B586" s="10"/>
      <c r="E586" s="10"/>
      <c r="F586" s="25">
        <v>0.0</v>
      </c>
      <c r="G586" s="29"/>
      <c r="H586" s="27">
        <v>0.0</v>
      </c>
      <c r="I586" s="27">
        <v>0.0</v>
      </c>
      <c r="J586" s="10"/>
    </row>
    <row r="587">
      <c r="A587" s="22"/>
      <c r="B587" s="10"/>
      <c r="E587" s="10"/>
      <c r="F587" s="25">
        <v>0.0</v>
      </c>
      <c r="G587" s="29"/>
      <c r="H587" s="27">
        <v>0.0</v>
      </c>
      <c r="I587" s="27">
        <v>0.0</v>
      </c>
      <c r="J587" s="10"/>
    </row>
    <row r="588">
      <c r="A588" s="22"/>
      <c r="B588" s="10"/>
      <c r="E588" s="10"/>
      <c r="F588" s="25">
        <v>0.0</v>
      </c>
      <c r="G588" s="29"/>
      <c r="H588" s="27">
        <v>0.0</v>
      </c>
      <c r="I588" s="27">
        <v>0.0</v>
      </c>
      <c r="J588" s="10"/>
    </row>
    <row r="589">
      <c r="A589" s="22"/>
      <c r="B589" s="10"/>
      <c r="E589" s="10"/>
      <c r="F589" s="25">
        <v>0.0</v>
      </c>
      <c r="G589" s="29"/>
      <c r="H589" s="27">
        <v>0.0</v>
      </c>
      <c r="I589" s="27">
        <v>0.0</v>
      </c>
      <c r="J589" s="10"/>
    </row>
    <row r="590">
      <c r="A590" s="22"/>
      <c r="B590" s="10"/>
      <c r="E590" s="10"/>
      <c r="F590" s="25">
        <v>0.0</v>
      </c>
      <c r="G590" s="29"/>
      <c r="H590" s="27">
        <v>0.0</v>
      </c>
      <c r="I590" s="27">
        <v>0.0</v>
      </c>
      <c r="J590" s="10"/>
    </row>
    <row r="591">
      <c r="A591" s="22"/>
      <c r="B591" s="10"/>
      <c r="E591" s="10"/>
      <c r="F591" s="25">
        <v>0.0</v>
      </c>
      <c r="G591" s="29"/>
      <c r="H591" s="27">
        <v>0.0</v>
      </c>
      <c r="I591" s="27">
        <v>0.0</v>
      </c>
      <c r="J591" s="10"/>
    </row>
    <row r="592">
      <c r="A592" s="22"/>
      <c r="B592" s="10"/>
      <c r="E592" s="10"/>
      <c r="F592" s="25">
        <v>0.0</v>
      </c>
      <c r="G592" s="29"/>
      <c r="H592" s="27">
        <v>0.0</v>
      </c>
      <c r="I592" s="27">
        <v>0.0</v>
      </c>
      <c r="J592" s="10"/>
    </row>
    <row r="593">
      <c r="A593" s="22"/>
      <c r="B593" s="10"/>
      <c r="E593" s="10"/>
      <c r="F593" s="25">
        <v>0.0</v>
      </c>
      <c r="G593" s="29"/>
      <c r="H593" s="27">
        <v>0.0</v>
      </c>
      <c r="I593" s="27">
        <v>0.0</v>
      </c>
      <c r="J593" s="10"/>
    </row>
    <row r="594">
      <c r="A594" s="22"/>
      <c r="B594" s="10"/>
      <c r="E594" s="10"/>
      <c r="F594" s="25">
        <v>0.0</v>
      </c>
      <c r="G594" s="29"/>
      <c r="H594" s="27">
        <v>0.0</v>
      </c>
      <c r="I594" s="27">
        <v>0.0</v>
      </c>
      <c r="J594" s="10"/>
    </row>
    <row r="595">
      <c r="A595" s="22"/>
      <c r="B595" s="10"/>
      <c r="E595" s="10"/>
      <c r="F595" s="25">
        <v>0.0</v>
      </c>
      <c r="G595" s="29"/>
      <c r="H595" s="27">
        <v>0.0</v>
      </c>
      <c r="I595" s="27">
        <v>0.0</v>
      </c>
      <c r="J595" s="10"/>
    </row>
    <row r="596">
      <c r="A596" s="22"/>
      <c r="B596" s="10"/>
      <c r="E596" s="10"/>
      <c r="F596" s="25">
        <v>0.0</v>
      </c>
      <c r="G596" s="29"/>
      <c r="H596" s="27">
        <v>0.0</v>
      </c>
      <c r="I596" s="27">
        <v>0.0</v>
      </c>
      <c r="J596" s="10"/>
    </row>
    <row r="597">
      <c r="A597" s="22"/>
      <c r="B597" s="10"/>
      <c r="E597" s="10"/>
      <c r="F597" s="25">
        <v>0.0</v>
      </c>
      <c r="G597" s="29"/>
      <c r="H597" s="27">
        <v>0.0</v>
      </c>
      <c r="I597" s="27">
        <v>0.0</v>
      </c>
      <c r="J597" s="10"/>
    </row>
    <row r="598">
      <c r="A598" s="22"/>
      <c r="B598" s="10"/>
      <c r="E598" s="10"/>
      <c r="F598" s="25">
        <v>0.0</v>
      </c>
      <c r="G598" s="29"/>
      <c r="H598" s="27">
        <v>0.0</v>
      </c>
      <c r="I598" s="27">
        <v>0.0</v>
      </c>
      <c r="J598" s="10"/>
    </row>
    <row r="599">
      <c r="A599" s="22"/>
      <c r="B599" s="10"/>
      <c r="E599" s="10"/>
      <c r="F599" s="25">
        <v>0.0</v>
      </c>
      <c r="G599" s="29"/>
      <c r="H599" s="27">
        <v>0.0</v>
      </c>
      <c r="I599" s="27">
        <v>0.0</v>
      </c>
      <c r="J599" s="10"/>
    </row>
    <row r="600">
      <c r="A600" s="22"/>
      <c r="B600" s="10"/>
      <c r="E600" s="10"/>
      <c r="F600" s="25">
        <v>0.0</v>
      </c>
      <c r="G600" s="29"/>
      <c r="H600" s="27">
        <v>0.0</v>
      </c>
      <c r="I600" s="27">
        <v>0.0</v>
      </c>
      <c r="J600" s="10"/>
    </row>
    <row r="601">
      <c r="A601" s="22"/>
      <c r="B601" s="10"/>
      <c r="E601" s="10"/>
      <c r="F601" s="25">
        <v>0.0</v>
      </c>
      <c r="G601" s="29"/>
      <c r="H601" s="27">
        <v>0.0</v>
      </c>
      <c r="I601" s="27">
        <v>0.0</v>
      </c>
      <c r="J601" s="10"/>
    </row>
    <row r="602">
      <c r="A602" s="22"/>
      <c r="B602" s="10"/>
      <c r="E602" s="10"/>
      <c r="F602" s="25">
        <v>0.0</v>
      </c>
      <c r="G602" s="29"/>
      <c r="H602" s="27">
        <v>0.0</v>
      </c>
      <c r="I602" s="27">
        <v>0.0</v>
      </c>
      <c r="J602" s="10"/>
    </row>
    <row r="603">
      <c r="A603" s="22"/>
      <c r="B603" s="10"/>
      <c r="E603" s="10"/>
      <c r="F603" s="25">
        <v>0.0</v>
      </c>
      <c r="G603" s="29"/>
      <c r="H603" s="27">
        <v>0.0</v>
      </c>
      <c r="I603" s="27">
        <v>0.0</v>
      </c>
      <c r="J603" s="10"/>
    </row>
    <row r="604">
      <c r="A604" s="22"/>
      <c r="B604" s="10"/>
      <c r="E604" s="10"/>
      <c r="F604" s="25">
        <v>0.0</v>
      </c>
      <c r="G604" s="29"/>
      <c r="H604" s="27">
        <v>0.0</v>
      </c>
      <c r="I604" s="27">
        <v>0.0</v>
      </c>
      <c r="J604" s="10"/>
    </row>
    <row r="605">
      <c r="A605" s="22"/>
      <c r="B605" s="10"/>
      <c r="E605" s="10"/>
      <c r="F605" s="25">
        <v>0.0</v>
      </c>
      <c r="G605" s="29"/>
      <c r="H605" s="27">
        <v>0.0</v>
      </c>
      <c r="I605" s="27">
        <v>0.0</v>
      </c>
      <c r="J605" s="10"/>
    </row>
    <row r="606">
      <c r="A606" s="22"/>
      <c r="B606" s="10"/>
      <c r="E606" s="10"/>
      <c r="F606" s="25">
        <v>0.0</v>
      </c>
      <c r="G606" s="29"/>
      <c r="H606" s="27">
        <v>0.0</v>
      </c>
      <c r="I606" s="27">
        <v>0.0</v>
      </c>
      <c r="J606" s="10"/>
    </row>
    <row r="607">
      <c r="A607" s="22"/>
      <c r="B607" s="10"/>
      <c r="E607" s="10"/>
      <c r="F607" s="25">
        <v>0.0</v>
      </c>
      <c r="G607" s="29"/>
      <c r="H607" s="27">
        <v>0.0</v>
      </c>
      <c r="I607" s="27">
        <v>0.0</v>
      </c>
      <c r="J607" s="10"/>
    </row>
    <row r="608">
      <c r="A608" s="22"/>
      <c r="B608" s="10"/>
      <c r="E608" s="10"/>
      <c r="F608" s="25">
        <v>0.0</v>
      </c>
      <c r="G608" s="29"/>
      <c r="H608" s="27">
        <v>0.0</v>
      </c>
      <c r="I608" s="27">
        <v>0.0</v>
      </c>
      <c r="J608" s="10"/>
    </row>
    <row r="609">
      <c r="A609" s="22"/>
      <c r="B609" s="10"/>
      <c r="E609" s="10"/>
      <c r="F609" s="25">
        <v>0.0</v>
      </c>
      <c r="G609" s="29"/>
      <c r="H609" s="27">
        <v>0.0</v>
      </c>
      <c r="I609" s="27">
        <v>0.0</v>
      </c>
      <c r="J609" s="10"/>
    </row>
    <row r="610">
      <c r="A610" s="22"/>
      <c r="B610" s="10"/>
      <c r="E610" s="10"/>
      <c r="F610" s="25">
        <v>0.0</v>
      </c>
      <c r="G610" s="29"/>
      <c r="H610" s="27">
        <v>0.0</v>
      </c>
      <c r="I610" s="27">
        <v>0.0</v>
      </c>
      <c r="J610" s="10"/>
    </row>
    <row r="611">
      <c r="A611" s="22"/>
      <c r="B611" s="10"/>
      <c r="E611" s="10"/>
      <c r="F611" s="25">
        <v>0.0</v>
      </c>
      <c r="G611" s="29"/>
      <c r="H611" s="27">
        <v>0.0</v>
      </c>
      <c r="I611" s="27">
        <v>0.0</v>
      </c>
      <c r="J611" s="10"/>
    </row>
    <row r="612">
      <c r="A612" s="22"/>
      <c r="B612" s="10"/>
      <c r="E612" s="10"/>
      <c r="F612" s="25">
        <v>0.0</v>
      </c>
      <c r="G612" s="29"/>
      <c r="H612" s="27">
        <v>0.0</v>
      </c>
      <c r="I612" s="27">
        <v>0.0</v>
      </c>
      <c r="J612" s="10"/>
    </row>
    <row r="613">
      <c r="A613" s="22"/>
      <c r="B613" s="10"/>
      <c r="E613" s="10"/>
      <c r="F613" s="25">
        <v>0.0</v>
      </c>
      <c r="G613" s="29"/>
      <c r="H613" s="27">
        <v>0.0</v>
      </c>
      <c r="I613" s="27">
        <v>0.0</v>
      </c>
      <c r="J613" s="10"/>
    </row>
    <row r="614">
      <c r="A614" s="22"/>
      <c r="B614" s="10"/>
      <c r="E614" s="10"/>
      <c r="F614" s="25">
        <v>0.0</v>
      </c>
      <c r="G614" s="29"/>
      <c r="H614" s="27">
        <v>0.0</v>
      </c>
      <c r="I614" s="27">
        <v>0.0</v>
      </c>
      <c r="J614" s="10"/>
    </row>
    <row r="615">
      <c r="A615" s="22"/>
      <c r="B615" s="10"/>
      <c r="E615" s="10"/>
      <c r="F615" s="25">
        <v>0.0</v>
      </c>
      <c r="G615" s="29"/>
      <c r="H615" s="27">
        <v>0.0</v>
      </c>
      <c r="I615" s="27">
        <v>0.0</v>
      </c>
      <c r="J615" s="10"/>
    </row>
    <row r="616">
      <c r="A616" s="22"/>
      <c r="B616" s="10"/>
      <c r="E616" s="10"/>
      <c r="F616" s="25">
        <v>0.0</v>
      </c>
      <c r="G616" s="29"/>
      <c r="H616" s="27">
        <v>0.0</v>
      </c>
      <c r="I616" s="27">
        <v>0.0</v>
      </c>
      <c r="J616" s="10"/>
    </row>
    <row r="617">
      <c r="A617" s="22"/>
      <c r="B617" s="10"/>
      <c r="E617" s="10"/>
      <c r="F617" s="25">
        <v>0.0</v>
      </c>
      <c r="G617" s="29"/>
      <c r="H617" s="27">
        <v>0.0</v>
      </c>
      <c r="I617" s="27">
        <v>0.0</v>
      </c>
      <c r="J617" s="10"/>
    </row>
    <row r="618">
      <c r="A618" s="22"/>
      <c r="B618" s="10"/>
      <c r="E618" s="10"/>
      <c r="F618" s="25">
        <v>0.0</v>
      </c>
      <c r="G618" s="29"/>
      <c r="H618" s="27">
        <v>0.0</v>
      </c>
      <c r="I618" s="27">
        <v>0.0</v>
      </c>
      <c r="J618" s="10"/>
    </row>
    <row r="619">
      <c r="A619" s="22"/>
      <c r="B619" s="10"/>
      <c r="E619" s="10"/>
      <c r="F619" s="25">
        <v>0.0</v>
      </c>
      <c r="G619" s="29"/>
      <c r="H619" s="27">
        <v>0.0</v>
      </c>
      <c r="I619" s="27">
        <v>0.0</v>
      </c>
      <c r="J619" s="10"/>
    </row>
    <row r="620">
      <c r="A620" s="22"/>
      <c r="B620" s="10"/>
      <c r="E620" s="10"/>
      <c r="F620" s="25">
        <v>0.0</v>
      </c>
      <c r="G620" s="29"/>
      <c r="H620" s="27">
        <v>0.0</v>
      </c>
      <c r="I620" s="27">
        <v>0.0</v>
      </c>
      <c r="J620" s="10"/>
    </row>
    <row r="621">
      <c r="A621" s="22"/>
      <c r="B621" s="10"/>
      <c r="E621" s="10"/>
      <c r="F621" s="25">
        <v>0.0</v>
      </c>
      <c r="G621" s="29"/>
      <c r="H621" s="27">
        <v>0.0</v>
      </c>
      <c r="I621" s="27">
        <v>0.0</v>
      </c>
      <c r="J621" s="10"/>
    </row>
    <row r="622">
      <c r="A622" s="22"/>
      <c r="B622" s="10"/>
      <c r="E622" s="10"/>
      <c r="F622" s="25">
        <v>0.0</v>
      </c>
      <c r="G622" s="29"/>
      <c r="H622" s="27">
        <v>0.0</v>
      </c>
      <c r="I622" s="27">
        <v>0.0</v>
      </c>
      <c r="J622" s="10"/>
    </row>
    <row r="623">
      <c r="A623" s="22"/>
      <c r="B623" s="10"/>
      <c r="E623" s="10"/>
      <c r="F623" s="25">
        <v>0.0</v>
      </c>
      <c r="G623" s="29"/>
      <c r="H623" s="27">
        <v>0.0</v>
      </c>
      <c r="I623" s="27">
        <v>0.0</v>
      </c>
      <c r="J623" s="10"/>
    </row>
    <row r="624">
      <c r="A624" s="22"/>
      <c r="B624" s="10"/>
      <c r="E624" s="10"/>
      <c r="F624" s="25">
        <v>0.0</v>
      </c>
      <c r="G624" s="29"/>
      <c r="H624" s="27">
        <v>0.0</v>
      </c>
      <c r="I624" s="27">
        <v>0.0</v>
      </c>
      <c r="J624" s="10"/>
    </row>
    <row r="625">
      <c r="A625" s="22"/>
      <c r="B625" s="10"/>
      <c r="E625" s="10"/>
      <c r="F625" s="25">
        <v>0.0</v>
      </c>
      <c r="G625" s="29"/>
      <c r="H625" s="27">
        <v>0.0</v>
      </c>
      <c r="I625" s="27">
        <v>0.0</v>
      </c>
      <c r="J625" s="10"/>
    </row>
    <row r="626">
      <c r="A626" s="22"/>
      <c r="B626" s="10"/>
      <c r="E626" s="10"/>
      <c r="F626" s="25">
        <v>0.0</v>
      </c>
      <c r="G626" s="29"/>
      <c r="H626" s="27">
        <v>0.0</v>
      </c>
      <c r="I626" s="27">
        <v>0.0</v>
      </c>
      <c r="J626" s="10"/>
    </row>
    <row r="627">
      <c r="A627" s="22"/>
      <c r="B627" s="10"/>
      <c r="E627" s="10"/>
      <c r="F627" s="25">
        <v>0.0</v>
      </c>
      <c r="G627" s="29"/>
      <c r="H627" s="27">
        <v>0.0</v>
      </c>
      <c r="I627" s="27">
        <v>0.0</v>
      </c>
      <c r="J627" s="10"/>
    </row>
    <row r="628">
      <c r="A628" s="22"/>
      <c r="B628" s="10"/>
      <c r="E628" s="10"/>
      <c r="F628" s="25">
        <v>0.0</v>
      </c>
      <c r="G628" s="29"/>
      <c r="H628" s="27">
        <v>0.0</v>
      </c>
      <c r="I628" s="27">
        <v>0.0</v>
      </c>
      <c r="J628" s="10"/>
    </row>
    <row r="629">
      <c r="A629" s="22"/>
      <c r="B629" s="10"/>
      <c r="E629" s="10"/>
      <c r="F629" s="25">
        <v>0.0</v>
      </c>
      <c r="G629" s="29"/>
      <c r="H629" s="27">
        <v>0.0</v>
      </c>
      <c r="I629" s="27">
        <v>0.0</v>
      </c>
      <c r="J629" s="10"/>
    </row>
    <row r="630">
      <c r="A630" s="22"/>
      <c r="B630" s="10"/>
      <c r="E630" s="10"/>
      <c r="F630" s="25">
        <v>0.0</v>
      </c>
      <c r="G630" s="29"/>
      <c r="H630" s="27">
        <v>0.0</v>
      </c>
      <c r="I630" s="27">
        <v>0.0</v>
      </c>
      <c r="J630" s="10"/>
    </row>
    <row r="631">
      <c r="A631" s="22"/>
      <c r="B631" s="10"/>
      <c r="E631" s="10"/>
      <c r="F631" s="25">
        <v>0.0</v>
      </c>
      <c r="G631" s="29"/>
      <c r="H631" s="27">
        <v>0.0</v>
      </c>
      <c r="I631" s="27">
        <v>0.0</v>
      </c>
      <c r="J631" s="10"/>
    </row>
    <row r="632">
      <c r="A632" s="22"/>
      <c r="B632" s="10"/>
      <c r="E632" s="10"/>
      <c r="F632" s="25">
        <v>0.0</v>
      </c>
      <c r="G632" s="29"/>
      <c r="H632" s="27">
        <v>0.0</v>
      </c>
      <c r="I632" s="27">
        <v>0.0</v>
      </c>
      <c r="J632" s="10"/>
    </row>
    <row r="633">
      <c r="A633" s="22"/>
      <c r="B633" s="10"/>
      <c r="E633" s="10"/>
      <c r="F633" s="25">
        <v>0.0</v>
      </c>
      <c r="G633" s="29"/>
      <c r="H633" s="27">
        <v>0.0</v>
      </c>
      <c r="I633" s="27">
        <v>0.0</v>
      </c>
      <c r="J633" s="10"/>
    </row>
    <row r="634">
      <c r="A634" s="22"/>
      <c r="B634" s="10"/>
      <c r="E634" s="10"/>
      <c r="F634" s="25">
        <v>0.0</v>
      </c>
      <c r="G634" s="29"/>
      <c r="H634" s="27">
        <v>0.0</v>
      </c>
      <c r="I634" s="27">
        <v>0.0</v>
      </c>
      <c r="J634" s="10"/>
    </row>
    <row r="635">
      <c r="A635" s="22"/>
      <c r="B635" s="10"/>
      <c r="E635" s="10"/>
      <c r="F635" s="25">
        <v>0.0</v>
      </c>
      <c r="G635" s="29"/>
      <c r="H635" s="27">
        <v>0.0</v>
      </c>
      <c r="I635" s="27">
        <v>0.0</v>
      </c>
      <c r="J635" s="10"/>
    </row>
    <row r="636">
      <c r="A636" s="22"/>
      <c r="B636" s="10"/>
      <c r="E636" s="10"/>
      <c r="F636" s="25">
        <v>0.0</v>
      </c>
      <c r="G636" s="29"/>
      <c r="H636" s="27">
        <v>0.0</v>
      </c>
      <c r="I636" s="27">
        <v>0.0</v>
      </c>
      <c r="J636" s="10"/>
    </row>
    <row r="637">
      <c r="A637" s="22"/>
      <c r="B637" s="10"/>
      <c r="E637" s="10"/>
      <c r="F637" s="25">
        <v>0.0</v>
      </c>
      <c r="G637" s="29"/>
      <c r="H637" s="27">
        <v>0.0</v>
      </c>
      <c r="I637" s="27">
        <v>0.0</v>
      </c>
      <c r="J637" s="10"/>
    </row>
    <row r="638">
      <c r="A638" s="22"/>
      <c r="B638" s="10"/>
      <c r="E638" s="10"/>
      <c r="F638" s="25">
        <v>0.0</v>
      </c>
      <c r="G638" s="29"/>
      <c r="H638" s="27">
        <v>0.0</v>
      </c>
      <c r="I638" s="27">
        <v>0.0</v>
      </c>
      <c r="J638" s="10"/>
    </row>
    <row r="639">
      <c r="A639" s="22"/>
      <c r="B639" s="10"/>
      <c r="E639" s="10"/>
      <c r="F639" s="25">
        <v>0.0</v>
      </c>
      <c r="G639" s="29"/>
      <c r="H639" s="27">
        <v>0.0</v>
      </c>
      <c r="I639" s="27">
        <v>0.0</v>
      </c>
      <c r="J639" s="10"/>
    </row>
    <row r="640">
      <c r="A640" s="22"/>
      <c r="B640" s="10"/>
      <c r="E640" s="10"/>
      <c r="F640" s="25">
        <v>0.0</v>
      </c>
      <c r="G640" s="29"/>
      <c r="H640" s="27">
        <v>0.0</v>
      </c>
      <c r="I640" s="27">
        <v>0.0</v>
      </c>
      <c r="J640" s="10"/>
    </row>
    <row r="641">
      <c r="A641" s="22"/>
      <c r="B641" s="10"/>
      <c r="E641" s="10"/>
      <c r="F641" s="25">
        <v>0.0</v>
      </c>
      <c r="G641" s="29"/>
      <c r="H641" s="27">
        <v>0.0</v>
      </c>
      <c r="I641" s="27">
        <v>0.0</v>
      </c>
      <c r="J641" s="10"/>
    </row>
    <row r="642">
      <c r="A642" s="22"/>
      <c r="B642" s="10"/>
      <c r="E642" s="10"/>
      <c r="F642" s="25">
        <v>0.0</v>
      </c>
      <c r="G642" s="29"/>
      <c r="H642" s="27">
        <v>0.0</v>
      </c>
      <c r="I642" s="27">
        <v>0.0</v>
      </c>
      <c r="J642" s="10"/>
    </row>
    <row r="643">
      <c r="A643" s="22"/>
      <c r="B643" s="10"/>
      <c r="E643" s="10"/>
      <c r="F643" s="25">
        <v>0.0</v>
      </c>
      <c r="G643" s="29"/>
      <c r="H643" s="27">
        <v>0.0</v>
      </c>
      <c r="I643" s="27">
        <v>0.0</v>
      </c>
      <c r="J643" s="10"/>
    </row>
    <row r="644">
      <c r="A644" s="22"/>
      <c r="B644" s="10"/>
      <c r="E644" s="10"/>
      <c r="F644" s="25">
        <v>0.0</v>
      </c>
      <c r="G644" s="29"/>
      <c r="H644" s="27">
        <v>0.0</v>
      </c>
      <c r="I644" s="27">
        <v>0.0</v>
      </c>
      <c r="J644" s="10"/>
    </row>
    <row r="645">
      <c r="A645" s="22"/>
      <c r="B645" s="10"/>
      <c r="E645" s="10"/>
      <c r="F645" s="25">
        <v>0.0</v>
      </c>
      <c r="G645" s="29"/>
      <c r="H645" s="27">
        <v>0.0</v>
      </c>
      <c r="I645" s="27">
        <v>0.0</v>
      </c>
      <c r="J645" s="10"/>
    </row>
    <row r="646">
      <c r="A646" s="22"/>
      <c r="B646" s="10"/>
      <c r="E646" s="10"/>
      <c r="F646" s="25">
        <v>0.0</v>
      </c>
      <c r="G646" s="29"/>
      <c r="H646" s="27">
        <v>0.0</v>
      </c>
      <c r="I646" s="27">
        <v>0.0</v>
      </c>
      <c r="J646" s="10"/>
    </row>
    <row r="647">
      <c r="A647" s="22"/>
      <c r="B647" s="10"/>
      <c r="E647" s="10"/>
      <c r="F647" s="25">
        <v>0.0</v>
      </c>
      <c r="G647" s="29"/>
      <c r="H647" s="27">
        <v>0.0</v>
      </c>
      <c r="I647" s="27">
        <v>0.0</v>
      </c>
      <c r="J647" s="10"/>
    </row>
    <row r="648">
      <c r="A648" s="22"/>
      <c r="B648" s="10"/>
      <c r="E648" s="10"/>
      <c r="F648" s="25">
        <v>0.0</v>
      </c>
      <c r="G648" s="29"/>
      <c r="H648" s="27">
        <v>0.0</v>
      </c>
      <c r="I648" s="27">
        <v>0.0</v>
      </c>
      <c r="J648" s="10"/>
    </row>
    <row r="649">
      <c r="A649" s="22"/>
      <c r="B649" s="10"/>
      <c r="E649" s="10"/>
      <c r="F649" s="25">
        <v>0.0</v>
      </c>
      <c r="G649" s="29"/>
      <c r="H649" s="27">
        <v>0.0</v>
      </c>
      <c r="I649" s="27">
        <v>0.0</v>
      </c>
      <c r="J649" s="10"/>
    </row>
    <row r="650">
      <c r="A650" s="22"/>
      <c r="B650" s="10"/>
      <c r="E650" s="10"/>
      <c r="F650" s="25">
        <v>0.0</v>
      </c>
      <c r="G650" s="29"/>
      <c r="H650" s="27">
        <v>0.0</v>
      </c>
      <c r="I650" s="27">
        <v>0.0</v>
      </c>
      <c r="J650" s="10"/>
    </row>
    <row r="651">
      <c r="A651" s="22"/>
      <c r="B651" s="10"/>
      <c r="E651" s="10"/>
      <c r="F651" s="25">
        <v>0.0</v>
      </c>
      <c r="G651" s="29"/>
      <c r="H651" s="27">
        <v>0.0</v>
      </c>
      <c r="I651" s="27">
        <v>0.0</v>
      </c>
      <c r="J651" s="10"/>
    </row>
    <row r="652">
      <c r="A652" s="22"/>
      <c r="B652" s="10"/>
      <c r="E652" s="10"/>
      <c r="F652" s="25">
        <v>0.0</v>
      </c>
      <c r="G652" s="29"/>
      <c r="H652" s="27">
        <v>0.0</v>
      </c>
      <c r="I652" s="27">
        <v>0.0</v>
      </c>
      <c r="J652" s="10"/>
    </row>
    <row r="653">
      <c r="A653" s="22"/>
      <c r="B653" s="10"/>
      <c r="E653" s="10"/>
      <c r="F653" s="25">
        <v>0.0</v>
      </c>
      <c r="G653" s="29"/>
      <c r="H653" s="27">
        <v>0.0</v>
      </c>
      <c r="I653" s="27">
        <v>0.0</v>
      </c>
      <c r="J653" s="10"/>
    </row>
    <row r="654">
      <c r="A654" s="22"/>
      <c r="B654" s="10"/>
      <c r="E654" s="10"/>
      <c r="F654" s="25">
        <v>0.0</v>
      </c>
      <c r="G654" s="29"/>
      <c r="H654" s="27">
        <v>0.0</v>
      </c>
      <c r="I654" s="27">
        <v>0.0</v>
      </c>
      <c r="J654" s="10"/>
    </row>
    <row r="655">
      <c r="A655" s="22"/>
      <c r="B655" s="10"/>
      <c r="E655" s="10"/>
      <c r="F655" s="25">
        <v>0.0</v>
      </c>
      <c r="G655" s="29"/>
      <c r="H655" s="27">
        <v>0.0</v>
      </c>
      <c r="I655" s="27">
        <v>0.0</v>
      </c>
      <c r="J655" s="10"/>
    </row>
    <row r="656">
      <c r="A656" s="22"/>
      <c r="B656" s="10"/>
      <c r="E656" s="10"/>
      <c r="F656" s="25">
        <v>0.0</v>
      </c>
      <c r="G656" s="29"/>
      <c r="H656" s="27">
        <v>0.0</v>
      </c>
      <c r="I656" s="27">
        <v>0.0</v>
      </c>
      <c r="J656" s="10"/>
    </row>
    <row r="657">
      <c r="A657" s="22"/>
      <c r="B657" s="10"/>
      <c r="E657" s="10"/>
      <c r="F657" s="25">
        <v>0.0</v>
      </c>
      <c r="G657" s="29"/>
      <c r="H657" s="27">
        <v>0.0</v>
      </c>
      <c r="I657" s="27">
        <v>0.0</v>
      </c>
      <c r="J657" s="10"/>
    </row>
    <row r="658">
      <c r="A658" s="22"/>
      <c r="B658" s="10"/>
      <c r="E658" s="10"/>
      <c r="F658" s="25">
        <v>0.0</v>
      </c>
      <c r="G658" s="29"/>
      <c r="H658" s="27">
        <v>0.0</v>
      </c>
      <c r="I658" s="27">
        <v>0.0</v>
      </c>
      <c r="J658" s="10"/>
    </row>
    <row r="659">
      <c r="A659" s="22"/>
      <c r="B659" s="10"/>
      <c r="E659" s="10"/>
      <c r="F659" s="25">
        <v>0.0</v>
      </c>
      <c r="G659" s="29"/>
      <c r="H659" s="27">
        <v>0.0</v>
      </c>
      <c r="I659" s="27">
        <v>0.0</v>
      </c>
      <c r="J659" s="10"/>
    </row>
    <row r="660">
      <c r="A660" s="22"/>
      <c r="B660" s="10"/>
      <c r="E660" s="10"/>
      <c r="F660" s="25">
        <v>0.0</v>
      </c>
      <c r="G660" s="29"/>
      <c r="H660" s="27">
        <v>0.0</v>
      </c>
      <c r="I660" s="27">
        <v>0.0</v>
      </c>
      <c r="J660" s="10"/>
    </row>
    <row r="661">
      <c r="A661" s="22"/>
      <c r="B661" s="10"/>
      <c r="E661" s="10"/>
      <c r="F661" s="25">
        <v>0.0</v>
      </c>
      <c r="G661" s="29"/>
      <c r="H661" s="27">
        <v>0.0</v>
      </c>
      <c r="I661" s="27">
        <v>0.0</v>
      </c>
      <c r="J661" s="10"/>
    </row>
    <row r="662">
      <c r="A662" s="22"/>
      <c r="B662" s="10"/>
      <c r="E662" s="10"/>
      <c r="F662" s="25">
        <v>0.0</v>
      </c>
      <c r="G662" s="29"/>
      <c r="H662" s="27">
        <v>0.0</v>
      </c>
      <c r="I662" s="27">
        <v>0.0</v>
      </c>
      <c r="J662" s="10"/>
    </row>
    <row r="663">
      <c r="A663" s="22"/>
      <c r="B663" s="10"/>
      <c r="E663" s="10"/>
      <c r="F663" s="25">
        <v>0.0</v>
      </c>
      <c r="G663" s="29"/>
      <c r="H663" s="27">
        <v>0.0</v>
      </c>
      <c r="I663" s="27">
        <v>0.0</v>
      </c>
      <c r="J663" s="10"/>
    </row>
    <row r="664">
      <c r="A664" s="22"/>
      <c r="B664" s="10"/>
      <c r="E664" s="10"/>
      <c r="F664" s="25">
        <v>0.0</v>
      </c>
      <c r="G664" s="29"/>
      <c r="H664" s="27">
        <v>0.0</v>
      </c>
      <c r="I664" s="27">
        <v>0.0</v>
      </c>
      <c r="J664" s="10"/>
    </row>
    <row r="665">
      <c r="A665" s="22"/>
      <c r="B665" s="10"/>
      <c r="E665" s="10"/>
      <c r="F665" s="25">
        <v>0.0</v>
      </c>
      <c r="G665" s="29"/>
      <c r="H665" s="27">
        <v>0.0</v>
      </c>
      <c r="I665" s="27">
        <v>0.0</v>
      </c>
      <c r="J665" s="10"/>
    </row>
    <row r="666">
      <c r="A666" s="22"/>
      <c r="B666" s="10"/>
      <c r="E666" s="10"/>
      <c r="F666" s="25">
        <v>0.0</v>
      </c>
      <c r="G666" s="29"/>
      <c r="H666" s="27">
        <v>0.0</v>
      </c>
      <c r="I666" s="27">
        <v>0.0</v>
      </c>
      <c r="J666" s="10"/>
    </row>
    <row r="667">
      <c r="A667" s="22"/>
      <c r="B667" s="10"/>
      <c r="E667" s="10"/>
      <c r="F667" s="25">
        <v>0.0</v>
      </c>
      <c r="G667" s="29"/>
      <c r="H667" s="27">
        <v>0.0</v>
      </c>
      <c r="I667" s="27">
        <v>0.0</v>
      </c>
      <c r="J667" s="10"/>
    </row>
    <row r="668">
      <c r="A668" s="22"/>
      <c r="B668" s="10"/>
      <c r="E668" s="10"/>
      <c r="F668" s="25">
        <v>0.0</v>
      </c>
      <c r="G668" s="29"/>
      <c r="H668" s="27">
        <v>0.0</v>
      </c>
      <c r="I668" s="27">
        <v>0.0</v>
      </c>
      <c r="J668" s="10"/>
    </row>
    <row r="669">
      <c r="A669" s="22"/>
      <c r="B669" s="10"/>
      <c r="E669" s="10"/>
      <c r="F669" s="25">
        <v>0.0</v>
      </c>
      <c r="G669" s="29"/>
      <c r="H669" s="27">
        <v>0.0</v>
      </c>
      <c r="I669" s="27">
        <v>0.0</v>
      </c>
      <c r="J669" s="10"/>
    </row>
    <row r="670">
      <c r="A670" s="22"/>
      <c r="B670" s="10"/>
      <c r="E670" s="10"/>
      <c r="F670" s="25">
        <v>0.0</v>
      </c>
      <c r="G670" s="29"/>
      <c r="H670" s="27">
        <v>0.0</v>
      </c>
      <c r="I670" s="27">
        <v>0.0</v>
      </c>
      <c r="J670" s="10"/>
    </row>
    <row r="671">
      <c r="A671" s="22"/>
      <c r="B671" s="10"/>
      <c r="E671" s="10"/>
      <c r="F671" s="25">
        <v>0.0</v>
      </c>
      <c r="G671" s="29"/>
      <c r="H671" s="27">
        <v>0.0</v>
      </c>
      <c r="I671" s="27">
        <v>0.0</v>
      </c>
      <c r="J671" s="10"/>
    </row>
    <row r="672">
      <c r="A672" s="22"/>
      <c r="B672" s="10"/>
      <c r="E672" s="10"/>
      <c r="F672" s="25">
        <v>0.0</v>
      </c>
      <c r="G672" s="29"/>
      <c r="H672" s="27">
        <v>0.0</v>
      </c>
      <c r="I672" s="27">
        <v>0.0</v>
      </c>
      <c r="J672" s="10"/>
    </row>
    <row r="673">
      <c r="A673" s="22"/>
      <c r="B673" s="10"/>
      <c r="E673" s="10"/>
      <c r="F673" s="25">
        <v>0.0</v>
      </c>
      <c r="G673" s="29"/>
      <c r="H673" s="27">
        <v>0.0</v>
      </c>
      <c r="I673" s="27">
        <v>0.0</v>
      </c>
      <c r="J673" s="10"/>
    </row>
    <row r="674">
      <c r="A674" s="22"/>
      <c r="B674" s="10"/>
      <c r="E674" s="10"/>
      <c r="F674" s="25">
        <v>0.0</v>
      </c>
      <c r="G674" s="29"/>
      <c r="H674" s="27">
        <v>0.0</v>
      </c>
      <c r="I674" s="27">
        <v>0.0</v>
      </c>
      <c r="J674" s="10"/>
    </row>
    <row r="675">
      <c r="A675" s="22"/>
      <c r="B675" s="10"/>
      <c r="E675" s="10"/>
      <c r="F675" s="25">
        <v>0.0</v>
      </c>
      <c r="G675" s="29"/>
      <c r="H675" s="27">
        <v>0.0</v>
      </c>
      <c r="I675" s="27">
        <v>0.0</v>
      </c>
      <c r="J675" s="10"/>
    </row>
    <row r="676">
      <c r="A676" s="22"/>
      <c r="B676" s="10"/>
      <c r="E676" s="10"/>
      <c r="F676" s="25">
        <v>0.0</v>
      </c>
      <c r="G676" s="29"/>
      <c r="H676" s="27">
        <v>0.0</v>
      </c>
      <c r="I676" s="27">
        <v>0.0</v>
      </c>
      <c r="J676" s="10"/>
    </row>
    <row r="677">
      <c r="A677" s="22"/>
      <c r="B677" s="10"/>
      <c r="E677" s="10"/>
      <c r="F677" s="25">
        <v>0.0</v>
      </c>
      <c r="G677" s="29"/>
      <c r="H677" s="27">
        <v>0.0</v>
      </c>
      <c r="I677" s="27">
        <v>0.0</v>
      </c>
      <c r="J677" s="10"/>
    </row>
    <row r="678">
      <c r="A678" s="22"/>
      <c r="B678" s="10"/>
      <c r="E678" s="10"/>
      <c r="F678" s="25">
        <v>0.0</v>
      </c>
      <c r="G678" s="29"/>
      <c r="H678" s="27">
        <v>0.0</v>
      </c>
      <c r="I678" s="27">
        <v>0.0</v>
      </c>
      <c r="J678" s="10"/>
    </row>
    <row r="679">
      <c r="A679" s="22"/>
      <c r="B679" s="10"/>
      <c r="E679" s="10"/>
      <c r="F679" s="25">
        <v>0.0</v>
      </c>
      <c r="G679" s="29"/>
      <c r="H679" s="27">
        <v>0.0</v>
      </c>
      <c r="I679" s="27">
        <v>0.0</v>
      </c>
      <c r="J679" s="10"/>
    </row>
    <row r="680">
      <c r="A680" s="22"/>
      <c r="B680" s="10"/>
      <c r="E680" s="10"/>
      <c r="F680" s="25">
        <v>0.0</v>
      </c>
      <c r="G680" s="29"/>
      <c r="H680" s="27">
        <v>0.0</v>
      </c>
      <c r="I680" s="27">
        <v>0.0</v>
      </c>
      <c r="J680" s="10"/>
    </row>
    <row r="681">
      <c r="A681" s="22"/>
      <c r="B681" s="10"/>
      <c r="E681" s="10"/>
      <c r="F681" s="25">
        <v>0.0</v>
      </c>
      <c r="G681" s="29"/>
      <c r="H681" s="27">
        <v>0.0</v>
      </c>
      <c r="I681" s="27">
        <v>0.0</v>
      </c>
      <c r="J681" s="10"/>
    </row>
    <row r="682">
      <c r="A682" s="22"/>
      <c r="B682" s="10"/>
      <c r="E682" s="10"/>
      <c r="F682" s="25">
        <v>0.0</v>
      </c>
      <c r="G682" s="29"/>
      <c r="H682" s="27">
        <v>0.0</v>
      </c>
      <c r="I682" s="27">
        <v>0.0</v>
      </c>
      <c r="J682" s="10"/>
    </row>
    <row r="683">
      <c r="A683" s="22"/>
      <c r="B683" s="10"/>
      <c r="E683" s="10"/>
      <c r="F683" s="25">
        <v>0.0</v>
      </c>
      <c r="G683" s="29"/>
      <c r="H683" s="27">
        <v>0.0</v>
      </c>
      <c r="I683" s="27">
        <v>0.0</v>
      </c>
      <c r="J683" s="10"/>
    </row>
    <row r="684">
      <c r="A684" s="22"/>
      <c r="B684" s="10"/>
      <c r="E684" s="10"/>
      <c r="F684" s="25">
        <v>0.0</v>
      </c>
      <c r="G684" s="29"/>
      <c r="H684" s="27">
        <v>0.0</v>
      </c>
      <c r="I684" s="27">
        <v>0.0</v>
      </c>
      <c r="J684" s="10"/>
    </row>
    <row r="685">
      <c r="A685" s="22"/>
      <c r="B685" s="10"/>
      <c r="E685" s="10"/>
      <c r="F685" s="25">
        <v>0.0</v>
      </c>
      <c r="G685" s="29"/>
      <c r="H685" s="27">
        <v>0.0</v>
      </c>
      <c r="I685" s="27">
        <v>0.0</v>
      </c>
      <c r="J685" s="10"/>
    </row>
    <row r="686">
      <c r="A686" s="22"/>
      <c r="B686" s="10"/>
      <c r="E686" s="10"/>
      <c r="F686" s="25">
        <v>0.0</v>
      </c>
      <c r="G686" s="29"/>
      <c r="H686" s="27">
        <v>0.0</v>
      </c>
      <c r="I686" s="27">
        <v>0.0</v>
      </c>
      <c r="J686" s="10"/>
    </row>
    <row r="687">
      <c r="A687" s="22"/>
      <c r="B687" s="10"/>
      <c r="E687" s="10"/>
      <c r="F687" s="25">
        <v>0.0</v>
      </c>
      <c r="G687" s="29"/>
      <c r="H687" s="27">
        <v>0.0</v>
      </c>
      <c r="I687" s="27">
        <v>0.0</v>
      </c>
      <c r="J687" s="10"/>
    </row>
    <row r="688">
      <c r="A688" s="22"/>
      <c r="B688" s="10"/>
      <c r="E688" s="10"/>
      <c r="F688" s="25">
        <v>0.0</v>
      </c>
      <c r="G688" s="29"/>
      <c r="H688" s="27">
        <v>0.0</v>
      </c>
      <c r="I688" s="27">
        <v>0.0</v>
      </c>
      <c r="J688" s="10"/>
    </row>
    <row r="689">
      <c r="A689" s="22"/>
      <c r="B689" s="10"/>
      <c r="E689" s="10"/>
      <c r="F689" s="25">
        <v>0.0</v>
      </c>
      <c r="G689" s="29"/>
      <c r="H689" s="27">
        <v>0.0</v>
      </c>
      <c r="I689" s="27">
        <v>0.0</v>
      </c>
      <c r="J689" s="10"/>
    </row>
    <row r="690">
      <c r="A690" s="22"/>
      <c r="B690" s="10"/>
      <c r="E690" s="10"/>
      <c r="F690" s="25">
        <v>0.0</v>
      </c>
      <c r="G690" s="29"/>
      <c r="H690" s="27">
        <v>0.0</v>
      </c>
      <c r="I690" s="27">
        <v>0.0</v>
      </c>
      <c r="J690" s="10"/>
    </row>
    <row r="691">
      <c r="A691" s="22"/>
      <c r="B691" s="10"/>
      <c r="E691" s="10"/>
      <c r="F691" s="25">
        <v>0.0</v>
      </c>
      <c r="G691" s="29"/>
      <c r="H691" s="27">
        <v>0.0</v>
      </c>
      <c r="I691" s="27">
        <v>0.0</v>
      </c>
      <c r="J691" s="10"/>
    </row>
    <row r="692">
      <c r="A692" s="22"/>
      <c r="B692" s="10"/>
      <c r="E692" s="10"/>
      <c r="F692" s="25">
        <v>0.0</v>
      </c>
      <c r="G692" s="29"/>
      <c r="H692" s="27">
        <v>0.0</v>
      </c>
      <c r="I692" s="27">
        <v>0.0</v>
      </c>
      <c r="J692" s="10"/>
    </row>
    <row r="693">
      <c r="A693" s="22"/>
      <c r="B693" s="10"/>
      <c r="E693" s="10"/>
      <c r="F693" s="25">
        <v>0.0</v>
      </c>
      <c r="G693" s="29"/>
      <c r="H693" s="27">
        <v>0.0</v>
      </c>
      <c r="I693" s="27">
        <v>0.0</v>
      </c>
      <c r="J693" s="10"/>
    </row>
    <row r="694">
      <c r="A694" s="22"/>
      <c r="B694" s="10"/>
      <c r="E694" s="10"/>
      <c r="F694" s="25">
        <v>0.0</v>
      </c>
      <c r="G694" s="29"/>
      <c r="H694" s="27">
        <v>0.0</v>
      </c>
      <c r="I694" s="27">
        <v>0.0</v>
      </c>
      <c r="J694" s="10"/>
    </row>
    <row r="695">
      <c r="A695" s="22"/>
      <c r="B695" s="10"/>
      <c r="E695" s="10"/>
      <c r="F695" s="25">
        <v>0.0</v>
      </c>
      <c r="G695" s="29"/>
      <c r="H695" s="27">
        <v>0.0</v>
      </c>
      <c r="I695" s="27">
        <v>0.0</v>
      </c>
      <c r="J695" s="10"/>
    </row>
    <row r="696">
      <c r="A696" s="22"/>
      <c r="B696" s="10"/>
      <c r="E696" s="10"/>
      <c r="F696" s="25">
        <v>0.0</v>
      </c>
      <c r="G696" s="29"/>
      <c r="H696" s="27">
        <v>0.0</v>
      </c>
      <c r="I696" s="27">
        <v>0.0</v>
      </c>
      <c r="J696" s="10"/>
    </row>
    <row r="697">
      <c r="A697" s="22"/>
      <c r="B697" s="10"/>
      <c r="E697" s="10"/>
      <c r="F697" s="25">
        <v>0.0</v>
      </c>
      <c r="G697" s="29"/>
      <c r="H697" s="27">
        <v>0.0</v>
      </c>
      <c r="I697" s="27">
        <v>0.0</v>
      </c>
      <c r="J697" s="10"/>
    </row>
    <row r="698">
      <c r="A698" s="22"/>
      <c r="B698" s="10"/>
      <c r="E698" s="10"/>
      <c r="F698" s="25">
        <v>0.0</v>
      </c>
      <c r="G698" s="29"/>
      <c r="H698" s="27">
        <v>0.0</v>
      </c>
      <c r="I698" s="27">
        <v>0.0</v>
      </c>
      <c r="J698" s="10"/>
    </row>
    <row r="699">
      <c r="A699" s="22"/>
      <c r="B699" s="10"/>
      <c r="E699" s="10"/>
      <c r="F699" s="25">
        <v>0.0</v>
      </c>
      <c r="G699" s="29"/>
      <c r="H699" s="27">
        <v>0.0</v>
      </c>
      <c r="I699" s="27">
        <v>0.0</v>
      </c>
      <c r="J699" s="10"/>
    </row>
    <row r="700">
      <c r="A700" s="22"/>
      <c r="B700" s="10"/>
      <c r="E700" s="10"/>
      <c r="F700" s="25">
        <v>0.0</v>
      </c>
      <c r="G700" s="29"/>
      <c r="H700" s="27">
        <v>0.0</v>
      </c>
      <c r="I700" s="27">
        <v>0.0</v>
      </c>
      <c r="J700" s="10"/>
    </row>
    <row r="701">
      <c r="A701" s="22"/>
      <c r="B701" s="10"/>
      <c r="E701" s="10"/>
      <c r="F701" s="25">
        <v>0.0</v>
      </c>
      <c r="G701" s="29"/>
      <c r="H701" s="27">
        <v>0.0</v>
      </c>
      <c r="I701" s="27">
        <v>0.0</v>
      </c>
      <c r="J701" s="10"/>
    </row>
    <row r="702">
      <c r="A702" s="22"/>
      <c r="B702" s="10"/>
      <c r="E702" s="10"/>
      <c r="F702" s="25">
        <v>0.0</v>
      </c>
      <c r="G702" s="29"/>
      <c r="H702" s="27">
        <v>0.0</v>
      </c>
      <c r="I702" s="27">
        <v>0.0</v>
      </c>
      <c r="J702" s="10"/>
    </row>
    <row r="703">
      <c r="A703" s="22"/>
      <c r="B703" s="10"/>
      <c r="E703" s="10"/>
      <c r="F703" s="25">
        <v>0.0</v>
      </c>
      <c r="G703" s="29"/>
      <c r="H703" s="27">
        <v>0.0</v>
      </c>
      <c r="I703" s="27">
        <v>0.0</v>
      </c>
      <c r="J703" s="10"/>
    </row>
    <row r="704">
      <c r="A704" s="22"/>
      <c r="B704" s="10"/>
      <c r="E704" s="10"/>
      <c r="F704" s="25">
        <v>0.0</v>
      </c>
      <c r="G704" s="29"/>
      <c r="H704" s="27">
        <v>0.0</v>
      </c>
      <c r="I704" s="27">
        <v>0.0</v>
      </c>
      <c r="J704" s="10"/>
    </row>
    <row r="705">
      <c r="A705" s="22"/>
      <c r="B705" s="10"/>
      <c r="E705" s="10"/>
      <c r="F705" s="25">
        <v>0.0</v>
      </c>
      <c r="G705" s="29"/>
      <c r="H705" s="27">
        <v>0.0</v>
      </c>
      <c r="I705" s="27">
        <v>0.0</v>
      </c>
      <c r="J705" s="10"/>
    </row>
    <row r="706">
      <c r="A706" s="22"/>
      <c r="B706" s="10"/>
      <c r="E706" s="10"/>
      <c r="F706" s="25">
        <v>0.0</v>
      </c>
      <c r="G706" s="29"/>
      <c r="H706" s="27">
        <v>0.0</v>
      </c>
      <c r="I706" s="27">
        <v>0.0</v>
      </c>
      <c r="J706" s="10"/>
    </row>
    <row r="707">
      <c r="A707" s="22"/>
      <c r="B707" s="10"/>
      <c r="E707" s="10"/>
      <c r="F707" s="25">
        <v>0.0</v>
      </c>
      <c r="G707" s="29"/>
      <c r="H707" s="27">
        <v>0.0</v>
      </c>
      <c r="I707" s="27">
        <v>0.0</v>
      </c>
      <c r="J707" s="10"/>
    </row>
    <row r="708">
      <c r="A708" s="22"/>
      <c r="B708" s="10"/>
      <c r="E708" s="10"/>
      <c r="F708" s="25">
        <v>0.0</v>
      </c>
      <c r="G708" s="29"/>
      <c r="H708" s="27">
        <v>0.0</v>
      </c>
      <c r="I708" s="27">
        <v>0.0</v>
      </c>
      <c r="J708" s="10"/>
    </row>
    <row r="709">
      <c r="A709" s="22"/>
      <c r="B709" s="10"/>
      <c r="E709" s="10"/>
      <c r="F709" s="25">
        <v>0.0</v>
      </c>
      <c r="G709" s="29"/>
      <c r="H709" s="27">
        <v>0.0</v>
      </c>
      <c r="I709" s="27">
        <v>0.0</v>
      </c>
      <c r="J709" s="10"/>
    </row>
    <row r="710">
      <c r="A710" s="22"/>
      <c r="B710" s="10"/>
      <c r="E710" s="10"/>
      <c r="F710" s="25">
        <v>0.0</v>
      </c>
      <c r="G710" s="29"/>
      <c r="H710" s="27">
        <v>0.0</v>
      </c>
      <c r="I710" s="27">
        <v>0.0</v>
      </c>
      <c r="J710" s="10"/>
    </row>
    <row r="711">
      <c r="A711" s="22"/>
      <c r="B711" s="10"/>
      <c r="E711" s="10"/>
      <c r="F711" s="25">
        <v>0.0</v>
      </c>
      <c r="G711" s="29"/>
      <c r="H711" s="27">
        <v>0.0</v>
      </c>
      <c r="I711" s="27">
        <v>0.0</v>
      </c>
      <c r="J711" s="10"/>
    </row>
    <row r="712">
      <c r="A712" s="22"/>
      <c r="B712" s="10"/>
      <c r="E712" s="10"/>
      <c r="F712" s="25">
        <v>0.0</v>
      </c>
      <c r="G712" s="29"/>
      <c r="H712" s="27">
        <v>0.0</v>
      </c>
      <c r="I712" s="27">
        <v>0.0</v>
      </c>
      <c r="J712" s="10"/>
    </row>
    <row r="713">
      <c r="A713" s="22"/>
      <c r="B713" s="10"/>
      <c r="E713" s="10"/>
      <c r="F713" s="25">
        <v>0.0</v>
      </c>
      <c r="G713" s="29"/>
      <c r="H713" s="27">
        <v>0.0</v>
      </c>
      <c r="I713" s="27">
        <v>0.0</v>
      </c>
      <c r="J713" s="10"/>
    </row>
    <row r="714">
      <c r="A714" s="22"/>
      <c r="B714" s="10"/>
      <c r="E714" s="10"/>
      <c r="F714" s="25">
        <v>0.0</v>
      </c>
      <c r="G714" s="29"/>
      <c r="H714" s="27">
        <v>0.0</v>
      </c>
      <c r="I714" s="27">
        <v>0.0</v>
      </c>
      <c r="J714" s="10"/>
    </row>
    <row r="715">
      <c r="A715" s="22"/>
      <c r="B715" s="10"/>
      <c r="E715" s="10"/>
      <c r="F715" s="25">
        <v>0.0</v>
      </c>
      <c r="G715" s="29"/>
      <c r="H715" s="27">
        <v>0.0</v>
      </c>
      <c r="I715" s="27">
        <v>0.0</v>
      </c>
      <c r="J715" s="10"/>
    </row>
    <row r="716">
      <c r="A716" s="22"/>
      <c r="B716" s="10"/>
      <c r="E716" s="10"/>
      <c r="F716" s="25">
        <v>0.0</v>
      </c>
      <c r="G716" s="29"/>
      <c r="H716" s="27">
        <v>0.0</v>
      </c>
      <c r="I716" s="27">
        <v>0.0</v>
      </c>
      <c r="J716" s="10"/>
    </row>
    <row r="717">
      <c r="A717" s="22"/>
      <c r="B717" s="10"/>
      <c r="E717" s="10"/>
      <c r="F717" s="25">
        <v>0.0</v>
      </c>
      <c r="G717" s="29"/>
      <c r="H717" s="27">
        <v>0.0</v>
      </c>
      <c r="I717" s="27">
        <v>0.0</v>
      </c>
      <c r="J717" s="10"/>
    </row>
    <row r="718">
      <c r="A718" s="22"/>
      <c r="B718" s="10"/>
      <c r="E718" s="10"/>
      <c r="F718" s="25">
        <v>0.0</v>
      </c>
      <c r="G718" s="29"/>
      <c r="H718" s="27">
        <v>0.0</v>
      </c>
      <c r="I718" s="27">
        <v>0.0</v>
      </c>
      <c r="J718" s="10"/>
    </row>
    <row r="719">
      <c r="A719" s="22"/>
      <c r="B719" s="10"/>
      <c r="E719" s="10"/>
      <c r="F719" s="25">
        <v>0.0</v>
      </c>
      <c r="G719" s="29"/>
      <c r="H719" s="27">
        <v>0.0</v>
      </c>
      <c r="I719" s="27">
        <v>0.0</v>
      </c>
      <c r="J719" s="10"/>
    </row>
    <row r="720">
      <c r="A720" s="22"/>
      <c r="B720" s="10"/>
      <c r="E720" s="10"/>
      <c r="F720" s="25">
        <v>0.0</v>
      </c>
      <c r="G720" s="29"/>
      <c r="H720" s="27">
        <v>0.0</v>
      </c>
      <c r="I720" s="27">
        <v>0.0</v>
      </c>
      <c r="J720" s="10"/>
    </row>
    <row r="721">
      <c r="A721" s="22"/>
      <c r="B721" s="10"/>
      <c r="E721" s="10"/>
      <c r="F721" s="25">
        <v>0.0</v>
      </c>
      <c r="G721" s="29"/>
      <c r="H721" s="27">
        <v>0.0</v>
      </c>
      <c r="I721" s="27">
        <v>0.0</v>
      </c>
      <c r="J721" s="10"/>
    </row>
    <row r="722">
      <c r="A722" s="22"/>
      <c r="B722" s="10"/>
      <c r="E722" s="10"/>
      <c r="F722" s="25">
        <v>0.0</v>
      </c>
      <c r="G722" s="29"/>
      <c r="H722" s="27">
        <v>0.0</v>
      </c>
      <c r="I722" s="27">
        <v>0.0</v>
      </c>
      <c r="J722" s="10"/>
    </row>
    <row r="723">
      <c r="A723" s="22"/>
      <c r="B723" s="10"/>
      <c r="E723" s="10"/>
      <c r="F723" s="25">
        <v>0.0</v>
      </c>
      <c r="G723" s="29"/>
      <c r="H723" s="27">
        <v>0.0</v>
      </c>
      <c r="I723" s="27">
        <v>0.0</v>
      </c>
      <c r="J723" s="10"/>
    </row>
    <row r="724">
      <c r="A724" s="22"/>
      <c r="B724" s="10"/>
      <c r="E724" s="10"/>
      <c r="F724" s="25">
        <v>0.0</v>
      </c>
      <c r="G724" s="29"/>
      <c r="H724" s="27">
        <v>0.0</v>
      </c>
      <c r="I724" s="27">
        <v>0.0</v>
      </c>
      <c r="J724" s="10"/>
    </row>
    <row r="725">
      <c r="A725" s="22"/>
      <c r="B725" s="10"/>
      <c r="E725" s="10"/>
      <c r="F725" s="25">
        <v>0.0</v>
      </c>
      <c r="G725" s="29"/>
      <c r="H725" s="27">
        <v>0.0</v>
      </c>
      <c r="I725" s="27">
        <v>0.0</v>
      </c>
      <c r="J725" s="10"/>
    </row>
    <row r="726">
      <c r="A726" s="22"/>
      <c r="B726" s="10"/>
      <c r="E726" s="10"/>
      <c r="F726" s="25">
        <v>0.0</v>
      </c>
      <c r="G726" s="29"/>
      <c r="H726" s="27">
        <v>0.0</v>
      </c>
      <c r="I726" s="27">
        <v>0.0</v>
      </c>
      <c r="J726" s="10"/>
    </row>
    <row r="727">
      <c r="A727" s="22"/>
      <c r="B727" s="10"/>
      <c r="E727" s="10"/>
      <c r="F727" s="25">
        <v>0.0</v>
      </c>
      <c r="G727" s="29"/>
      <c r="H727" s="27">
        <v>0.0</v>
      </c>
      <c r="I727" s="27">
        <v>0.0</v>
      </c>
      <c r="J727" s="10"/>
    </row>
    <row r="728">
      <c r="A728" s="22"/>
      <c r="B728" s="10"/>
      <c r="E728" s="10"/>
      <c r="F728" s="25">
        <v>0.0</v>
      </c>
      <c r="G728" s="29"/>
      <c r="H728" s="27">
        <v>0.0</v>
      </c>
      <c r="I728" s="27">
        <v>0.0</v>
      </c>
      <c r="J728" s="10"/>
    </row>
    <row r="729">
      <c r="A729" s="22"/>
      <c r="B729" s="10"/>
      <c r="E729" s="10"/>
      <c r="F729" s="25">
        <v>0.0</v>
      </c>
      <c r="G729" s="29"/>
      <c r="H729" s="27">
        <v>0.0</v>
      </c>
      <c r="I729" s="27">
        <v>0.0</v>
      </c>
      <c r="J729" s="10"/>
    </row>
    <row r="730">
      <c r="A730" s="22"/>
      <c r="B730" s="10"/>
      <c r="E730" s="10"/>
      <c r="F730" s="25">
        <v>0.0</v>
      </c>
      <c r="G730" s="29"/>
      <c r="H730" s="27">
        <v>0.0</v>
      </c>
      <c r="I730" s="27">
        <v>0.0</v>
      </c>
      <c r="J730" s="10"/>
    </row>
    <row r="731">
      <c r="A731" s="22"/>
      <c r="B731" s="10"/>
      <c r="E731" s="10"/>
      <c r="F731" s="25">
        <v>0.0</v>
      </c>
      <c r="G731" s="29"/>
      <c r="H731" s="27">
        <v>0.0</v>
      </c>
      <c r="I731" s="27">
        <v>0.0</v>
      </c>
      <c r="J731" s="10"/>
    </row>
    <row r="732">
      <c r="A732" s="22"/>
      <c r="B732" s="10"/>
      <c r="E732" s="10"/>
      <c r="F732" s="25">
        <v>0.0</v>
      </c>
      <c r="G732" s="29"/>
      <c r="H732" s="27">
        <v>0.0</v>
      </c>
      <c r="I732" s="27">
        <v>0.0</v>
      </c>
      <c r="J732" s="10"/>
    </row>
    <row r="733">
      <c r="A733" s="22"/>
      <c r="B733" s="10"/>
      <c r="E733" s="10"/>
      <c r="F733" s="25">
        <v>0.0</v>
      </c>
      <c r="G733" s="29"/>
      <c r="H733" s="27">
        <v>0.0</v>
      </c>
      <c r="I733" s="27">
        <v>0.0</v>
      </c>
      <c r="J733" s="10"/>
    </row>
    <row r="734">
      <c r="A734" s="22"/>
      <c r="B734" s="10"/>
      <c r="E734" s="10"/>
      <c r="F734" s="25">
        <v>0.0</v>
      </c>
      <c r="G734" s="29"/>
      <c r="H734" s="27">
        <v>0.0</v>
      </c>
      <c r="I734" s="27">
        <v>0.0</v>
      </c>
      <c r="J734" s="10"/>
    </row>
    <row r="735">
      <c r="A735" s="22"/>
      <c r="B735" s="10"/>
      <c r="E735" s="10"/>
      <c r="F735" s="25">
        <v>0.0</v>
      </c>
      <c r="G735" s="29"/>
      <c r="H735" s="27">
        <v>0.0</v>
      </c>
      <c r="I735" s="27">
        <v>0.0</v>
      </c>
      <c r="J735" s="10"/>
    </row>
    <row r="736">
      <c r="A736" s="22"/>
      <c r="B736" s="10"/>
      <c r="E736" s="10"/>
      <c r="F736" s="25">
        <v>0.0</v>
      </c>
      <c r="G736" s="29"/>
      <c r="H736" s="27">
        <v>0.0</v>
      </c>
      <c r="I736" s="27">
        <v>0.0</v>
      </c>
      <c r="J736" s="10"/>
    </row>
    <row r="737">
      <c r="A737" s="22"/>
      <c r="B737" s="10"/>
      <c r="E737" s="10"/>
      <c r="F737" s="25">
        <v>0.0</v>
      </c>
      <c r="G737" s="29"/>
      <c r="H737" s="27">
        <v>0.0</v>
      </c>
      <c r="I737" s="27">
        <v>0.0</v>
      </c>
      <c r="J737" s="10"/>
    </row>
    <row r="738">
      <c r="A738" s="22"/>
      <c r="B738" s="10"/>
      <c r="E738" s="10"/>
      <c r="F738" s="25">
        <v>0.0</v>
      </c>
      <c r="G738" s="29"/>
      <c r="H738" s="27">
        <v>0.0</v>
      </c>
      <c r="I738" s="27">
        <v>0.0</v>
      </c>
      <c r="J738" s="10"/>
    </row>
    <row r="739">
      <c r="A739" s="22"/>
      <c r="B739" s="10"/>
      <c r="E739" s="10"/>
      <c r="F739" s="25">
        <v>0.0</v>
      </c>
      <c r="G739" s="29"/>
      <c r="H739" s="27">
        <v>0.0</v>
      </c>
      <c r="I739" s="27">
        <v>0.0</v>
      </c>
      <c r="J739" s="10"/>
    </row>
    <row r="740">
      <c r="A740" s="22"/>
      <c r="B740" s="10"/>
      <c r="E740" s="10"/>
      <c r="F740" s="25">
        <v>0.0</v>
      </c>
      <c r="G740" s="29"/>
      <c r="H740" s="27">
        <v>0.0</v>
      </c>
      <c r="I740" s="27">
        <v>0.0</v>
      </c>
      <c r="J740" s="10"/>
    </row>
    <row r="741">
      <c r="A741" s="22"/>
      <c r="B741" s="10"/>
      <c r="E741" s="10"/>
      <c r="F741" s="25">
        <v>0.0</v>
      </c>
      <c r="G741" s="29"/>
      <c r="H741" s="27">
        <v>0.0</v>
      </c>
      <c r="I741" s="27">
        <v>0.0</v>
      </c>
      <c r="J741" s="10"/>
    </row>
    <row r="742">
      <c r="A742" s="22"/>
      <c r="B742" s="10"/>
      <c r="E742" s="10"/>
      <c r="F742" s="25">
        <v>0.0</v>
      </c>
      <c r="G742" s="29"/>
      <c r="H742" s="27">
        <v>0.0</v>
      </c>
      <c r="I742" s="27">
        <v>0.0</v>
      </c>
      <c r="J742" s="10"/>
    </row>
    <row r="743">
      <c r="A743" s="22"/>
      <c r="B743" s="10"/>
      <c r="E743" s="10"/>
      <c r="F743" s="25">
        <v>0.0</v>
      </c>
      <c r="G743" s="29"/>
      <c r="H743" s="27">
        <v>0.0</v>
      </c>
      <c r="I743" s="27">
        <v>0.0</v>
      </c>
      <c r="J743" s="10"/>
    </row>
    <row r="744">
      <c r="A744" s="22"/>
      <c r="B744" s="10"/>
      <c r="E744" s="10"/>
      <c r="F744" s="25">
        <v>0.0</v>
      </c>
      <c r="G744" s="29"/>
      <c r="H744" s="27">
        <v>0.0</v>
      </c>
      <c r="I744" s="27">
        <v>0.0</v>
      </c>
      <c r="J744" s="10"/>
    </row>
    <row r="745">
      <c r="A745" s="22"/>
      <c r="B745" s="10"/>
      <c r="E745" s="10"/>
      <c r="F745" s="25">
        <v>0.0</v>
      </c>
      <c r="G745" s="29"/>
      <c r="H745" s="27">
        <v>0.0</v>
      </c>
      <c r="I745" s="27">
        <v>0.0</v>
      </c>
      <c r="J745" s="10"/>
    </row>
    <row r="746">
      <c r="A746" s="22"/>
      <c r="B746" s="10"/>
      <c r="E746" s="10"/>
      <c r="F746" s="25">
        <v>0.0</v>
      </c>
      <c r="G746" s="29"/>
      <c r="H746" s="27">
        <v>0.0</v>
      </c>
      <c r="I746" s="27">
        <v>0.0</v>
      </c>
      <c r="J746" s="10"/>
    </row>
    <row r="747">
      <c r="A747" s="22"/>
      <c r="B747" s="10"/>
      <c r="E747" s="10"/>
      <c r="F747" s="25">
        <v>0.0</v>
      </c>
      <c r="G747" s="29"/>
      <c r="H747" s="27">
        <v>0.0</v>
      </c>
      <c r="I747" s="27">
        <v>0.0</v>
      </c>
      <c r="J747" s="10"/>
    </row>
    <row r="748">
      <c r="A748" s="22"/>
      <c r="B748" s="10"/>
      <c r="E748" s="10"/>
      <c r="F748" s="25">
        <v>0.0</v>
      </c>
      <c r="G748" s="29"/>
      <c r="H748" s="27">
        <v>0.0</v>
      </c>
      <c r="I748" s="27">
        <v>0.0</v>
      </c>
      <c r="J748" s="10"/>
    </row>
    <row r="749">
      <c r="A749" s="22"/>
      <c r="B749" s="10"/>
      <c r="E749" s="10"/>
      <c r="F749" s="25">
        <v>0.0</v>
      </c>
      <c r="G749" s="29"/>
      <c r="H749" s="27">
        <v>0.0</v>
      </c>
      <c r="I749" s="27">
        <v>0.0</v>
      </c>
      <c r="J749" s="10"/>
    </row>
    <row r="750">
      <c r="A750" s="22"/>
      <c r="B750" s="10"/>
      <c r="E750" s="10"/>
      <c r="F750" s="25">
        <v>0.0</v>
      </c>
      <c r="G750" s="29"/>
      <c r="H750" s="27">
        <v>0.0</v>
      </c>
      <c r="I750" s="27">
        <v>0.0</v>
      </c>
      <c r="J750" s="10"/>
    </row>
    <row r="751">
      <c r="A751" s="22"/>
      <c r="B751" s="10"/>
      <c r="E751" s="10"/>
      <c r="F751" s="25">
        <v>0.0</v>
      </c>
      <c r="G751" s="29"/>
      <c r="H751" s="27">
        <v>0.0</v>
      </c>
      <c r="I751" s="27">
        <v>0.0</v>
      </c>
      <c r="J751" s="10"/>
    </row>
    <row r="752">
      <c r="A752" s="22"/>
      <c r="B752" s="10"/>
      <c r="E752" s="10"/>
      <c r="F752" s="25">
        <v>0.0</v>
      </c>
      <c r="G752" s="29"/>
      <c r="H752" s="27">
        <v>0.0</v>
      </c>
      <c r="I752" s="27">
        <v>0.0</v>
      </c>
      <c r="J752" s="10"/>
    </row>
    <row r="753">
      <c r="A753" s="22"/>
      <c r="B753" s="10"/>
      <c r="E753" s="10"/>
      <c r="F753" s="25">
        <v>0.0</v>
      </c>
      <c r="G753" s="29"/>
      <c r="H753" s="27">
        <v>0.0</v>
      </c>
      <c r="I753" s="27">
        <v>0.0</v>
      </c>
      <c r="J753" s="10"/>
    </row>
    <row r="754">
      <c r="A754" s="22"/>
      <c r="B754" s="10"/>
      <c r="E754" s="10"/>
      <c r="F754" s="25">
        <v>0.0</v>
      </c>
      <c r="G754" s="29"/>
      <c r="H754" s="27">
        <v>0.0</v>
      </c>
      <c r="I754" s="27">
        <v>0.0</v>
      </c>
      <c r="J754" s="10"/>
    </row>
    <row r="755">
      <c r="A755" s="22"/>
      <c r="B755" s="10"/>
      <c r="E755" s="10"/>
      <c r="F755" s="25">
        <v>0.0</v>
      </c>
      <c r="G755" s="29"/>
      <c r="H755" s="27">
        <v>0.0</v>
      </c>
      <c r="I755" s="27">
        <v>0.0</v>
      </c>
      <c r="J755" s="10"/>
    </row>
    <row r="756">
      <c r="A756" s="22"/>
      <c r="B756" s="10"/>
      <c r="E756" s="10"/>
      <c r="F756" s="25">
        <v>0.0</v>
      </c>
      <c r="G756" s="29"/>
      <c r="H756" s="27">
        <v>0.0</v>
      </c>
      <c r="I756" s="27">
        <v>0.0</v>
      </c>
      <c r="J756" s="10"/>
    </row>
    <row r="757">
      <c r="A757" s="22"/>
      <c r="B757" s="10"/>
      <c r="E757" s="10"/>
      <c r="F757" s="25">
        <v>0.0</v>
      </c>
      <c r="G757" s="29"/>
      <c r="H757" s="27">
        <v>0.0</v>
      </c>
      <c r="I757" s="27">
        <v>0.0</v>
      </c>
      <c r="J757" s="10"/>
    </row>
    <row r="758">
      <c r="A758" s="22"/>
      <c r="B758" s="10"/>
      <c r="E758" s="10"/>
      <c r="F758" s="25">
        <v>0.0</v>
      </c>
      <c r="G758" s="29"/>
      <c r="H758" s="27">
        <v>0.0</v>
      </c>
      <c r="I758" s="27">
        <v>0.0</v>
      </c>
      <c r="J758" s="10"/>
    </row>
    <row r="759">
      <c r="A759" s="22"/>
      <c r="B759" s="10"/>
      <c r="E759" s="10"/>
      <c r="F759" s="25">
        <v>0.0</v>
      </c>
      <c r="G759" s="29"/>
      <c r="H759" s="27">
        <v>0.0</v>
      </c>
      <c r="I759" s="27">
        <v>0.0</v>
      </c>
      <c r="J759" s="10"/>
    </row>
    <row r="760">
      <c r="A760" s="22"/>
      <c r="B760" s="10"/>
      <c r="E760" s="10"/>
      <c r="F760" s="25">
        <v>0.0</v>
      </c>
      <c r="G760" s="29"/>
      <c r="H760" s="27">
        <v>0.0</v>
      </c>
      <c r="I760" s="27">
        <v>0.0</v>
      </c>
      <c r="J760" s="10"/>
    </row>
    <row r="761">
      <c r="A761" s="22"/>
      <c r="B761" s="10"/>
      <c r="E761" s="10"/>
      <c r="F761" s="25">
        <v>0.0</v>
      </c>
      <c r="G761" s="29"/>
      <c r="H761" s="27">
        <v>0.0</v>
      </c>
      <c r="I761" s="27">
        <v>0.0</v>
      </c>
      <c r="J761" s="10"/>
    </row>
    <row r="762">
      <c r="A762" s="22"/>
      <c r="B762" s="10"/>
      <c r="E762" s="10"/>
      <c r="F762" s="25">
        <v>0.0</v>
      </c>
      <c r="G762" s="29"/>
      <c r="H762" s="27">
        <v>0.0</v>
      </c>
      <c r="I762" s="27">
        <v>0.0</v>
      </c>
      <c r="J762" s="10"/>
    </row>
    <row r="763">
      <c r="A763" s="22"/>
      <c r="B763" s="10"/>
      <c r="E763" s="10"/>
      <c r="F763" s="25">
        <v>0.0</v>
      </c>
      <c r="G763" s="29"/>
      <c r="H763" s="27">
        <v>0.0</v>
      </c>
      <c r="I763" s="27">
        <v>0.0</v>
      </c>
      <c r="J763" s="10"/>
    </row>
    <row r="764">
      <c r="A764" s="22"/>
      <c r="B764" s="10"/>
      <c r="E764" s="10"/>
      <c r="F764" s="25">
        <v>0.0</v>
      </c>
      <c r="G764" s="29"/>
      <c r="H764" s="27">
        <v>0.0</v>
      </c>
      <c r="I764" s="27">
        <v>0.0</v>
      </c>
      <c r="J764" s="10"/>
    </row>
    <row r="765">
      <c r="A765" s="22"/>
      <c r="B765" s="10"/>
      <c r="E765" s="10"/>
      <c r="F765" s="25">
        <v>0.0</v>
      </c>
      <c r="G765" s="29"/>
      <c r="H765" s="27">
        <v>0.0</v>
      </c>
      <c r="I765" s="27">
        <v>0.0</v>
      </c>
      <c r="J765" s="10"/>
    </row>
    <row r="766">
      <c r="A766" s="22"/>
      <c r="B766" s="10"/>
      <c r="E766" s="10"/>
      <c r="F766" s="25">
        <v>0.0</v>
      </c>
      <c r="G766" s="29"/>
      <c r="H766" s="27">
        <v>0.0</v>
      </c>
      <c r="I766" s="27">
        <v>0.0</v>
      </c>
      <c r="J766" s="10"/>
    </row>
    <row r="767">
      <c r="A767" s="22"/>
      <c r="B767" s="10"/>
      <c r="E767" s="10"/>
      <c r="F767" s="25">
        <v>0.0</v>
      </c>
      <c r="G767" s="29"/>
      <c r="H767" s="27">
        <v>0.0</v>
      </c>
      <c r="I767" s="27">
        <v>0.0</v>
      </c>
      <c r="J767" s="10"/>
    </row>
    <row r="768">
      <c r="A768" s="22"/>
      <c r="B768" s="10"/>
      <c r="E768" s="10"/>
      <c r="F768" s="25">
        <v>0.0</v>
      </c>
      <c r="G768" s="29"/>
      <c r="H768" s="27">
        <v>0.0</v>
      </c>
      <c r="I768" s="27">
        <v>0.0</v>
      </c>
      <c r="J768" s="10"/>
    </row>
    <row r="769">
      <c r="A769" s="22"/>
      <c r="B769" s="10"/>
      <c r="E769" s="10"/>
      <c r="F769" s="25">
        <v>0.0</v>
      </c>
      <c r="G769" s="29"/>
      <c r="H769" s="27">
        <v>0.0</v>
      </c>
      <c r="I769" s="27">
        <v>0.0</v>
      </c>
      <c r="J769" s="10"/>
    </row>
    <row r="770">
      <c r="A770" s="22"/>
      <c r="B770" s="10"/>
      <c r="E770" s="10"/>
      <c r="F770" s="25">
        <v>0.0</v>
      </c>
      <c r="G770" s="29"/>
      <c r="H770" s="27">
        <v>0.0</v>
      </c>
      <c r="I770" s="27">
        <v>0.0</v>
      </c>
      <c r="J770" s="10"/>
    </row>
    <row r="771">
      <c r="A771" s="22"/>
      <c r="B771" s="10"/>
      <c r="E771" s="10"/>
      <c r="F771" s="25">
        <v>0.0</v>
      </c>
      <c r="G771" s="29"/>
      <c r="H771" s="27">
        <v>0.0</v>
      </c>
      <c r="I771" s="27">
        <v>0.0</v>
      </c>
      <c r="J771" s="10"/>
    </row>
    <row r="772">
      <c r="A772" s="22"/>
      <c r="B772" s="10"/>
      <c r="E772" s="10"/>
      <c r="F772" s="25">
        <v>0.0</v>
      </c>
      <c r="G772" s="29"/>
      <c r="H772" s="27">
        <v>0.0</v>
      </c>
      <c r="I772" s="27">
        <v>0.0</v>
      </c>
      <c r="J772" s="10"/>
    </row>
    <row r="773">
      <c r="A773" s="22"/>
      <c r="B773" s="10"/>
      <c r="E773" s="10"/>
      <c r="F773" s="25">
        <v>0.0</v>
      </c>
      <c r="G773" s="29"/>
      <c r="H773" s="27">
        <v>0.0</v>
      </c>
      <c r="I773" s="27">
        <v>0.0</v>
      </c>
      <c r="J773" s="10"/>
    </row>
    <row r="774">
      <c r="A774" s="22"/>
      <c r="B774" s="10"/>
      <c r="E774" s="10"/>
      <c r="F774" s="25">
        <v>0.0</v>
      </c>
      <c r="G774" s="29"/>
      <c r="H774" s="27">
        <v>0.0</v>
      </c>
      <c r="I774" s="27">
        <v>0.0</v>
      </c>
      <c r="J774" s="10"/>
    </row>
    <row r="775">
      <c r="A775" s="22"/>
      <c r="B775" s="10"/>
      <c r="E775" s="10"/>
      <c r="F775" s="25">
        <v>0.0</v>
      </c>
      <c r="G775" s="29"/>
      <c r="H775" s="27">
        <v>0.0</v>
      </c>
      <c r="I775" s="27">
        <v>0.0</v>
      </c>
      <c r="J775" s="10"/>
    </row>
    <row r="776">
      <c r="A776" s="22"/>
      <c r="B776" s="10"/>
      <c r="E776" s="10"/>
      <c r="F776" s="25">
        <v>0.0</v>
      </c>
      <c r="G776" s="29"/>
      <c r="H776" s="27">
        <v>0.0</v>
      </c>
      <c r="I776" s="27">
        <v>0.0</v>
      </c>
      <c r="J776" s="10"/>
    </row>
    <row r="777">
      <c r="A777" s="22"/>
      <c r="B777" s="10"/>
      <c r="E777" s="10"/>
      <c r="F777" s="25">
        <v>0.0</v>
      </c>
      <c r="G777" s="29"/>
      <c r="H777" s="27">
        <v>0.0</v>
      </c>
      <c r="I777" s="27">
        <v>0.0</v>
      </c>
      <c r="J777" s="10"/>
    </row>
    <row r="778">
      <c r="A778" s="22"/>
      <c r="B778" s="10"/>
      <c r="E778" s="10"/>
      <c r="F778" s="25">
        <v>0.0</v>
      </c>
      <c r="G778" s="29"/>
      <c r="H778" s="27">
        <v>0.0</v>
      </c>
      <c r="I778" s="27">
        <v>0.0</v>
      </c>
      <c r="J778" s="10"/>
    </row>
    <row r="779">
      <c r="A779" s="22"/>
      <c r="B779" s="10"/>
      <c r="E779" s="10"/>
      <c r="F779" s="25">
        <v>0.0</v>
      </c>
      <c r="G779" s="29"/>
      <c r="H779" s="27">
        <v>0.0</v>
      </c>
      <c r="I779" s="27">
        <v>0.0</v>
      </c>
      <c r="J779" s="10"/>
    </row>
    <row r="780">
      <c r="A780" s="22"/>
      <c r="B780" s="10"/>
      <c r="E780" s="10"/>
      <c r="F780" s="25">
        <v>0.0</v>
      </c>
      <c r="G780" s="29"/>
      <c r="H780" s="27">
        <v>0.0</v>
      </c>
      <c r="I780" s="27">
        <v>0.0</v>
      </c>
      <c r="J780" s="10"/>
    </row>
    <row r="781">
      <c r="A781" s="22"/>
      <c r="B781" s="10"/>
      <c r="E781" s="10"/>
      <c r="F781" s="25">
        <v>0.0</v>
      </c>
      <c r="G781" s="29"/>
      <c r="H781" s="27">
        <v>0.0</v>
      </c>
      <c r="I781" s="27">
        <v>0.0</v>
      </c>
      <c r="J781" s="10"/>
    </row>
    <row r="782">
      <c r="A782" s="22"/>
      <c r="B782" s="10"/>
      <c r="E782" s="10"/>
      <c r="F782" s="25">
        <v>0.0</v>
      </c>
      <c r="G782" s="29"/>
      <c r="H782" s="27">
        <v>0.0</v>
      </c>
      <c r="I782" s="27">
        <v>0.0</v>
      </c>
      <c r="J782" s="10"/>
    </row>
    <row r="783">
      <c r="A783" s="22"/>
      <c r="B783" s="10"/>
      <c r="E783" s="10"/>
      <c r="F783" s="25">
        <v>0.0</v>
      </c>
      <c r="G783" s="29"/>
      <c r="H783" s="27">
        <v>0.0</v>
      </c>
      <c r="I783" s="27">
        <v>0.0</v>
      </c>
      <c r="J783" s="10"/>
    </row>
    <row r="784">
      <c r="A784" s="22"/>
      <c r="B784" s="10"/>
      <c r="E784" s="10"/>
      <c r="F784" s="25">
        <v>0.0</v>
      </c>
      <c r="G784" s="29"/>
      <c r="H784" s="27">
        <v>0.0</v>
      </c>
      <c r="I784" s="27">
        <v>0.0</v>
      </c>
      <c r="J784" s="10"/>
    </row>
    <row r="785">
      <c r="A785" s="22"/>
      <c r="B785" s="10"/>
      <c r="E785" s="10"/>
      <c r="F785" s="25">
        <v>0.0</v>
      </c>
      <c r="G785" s="29"/>
      <c r="H785" s="27">
        <v>0.0</v>
      </c>
      <c r="I785" s="27">
        <v>0.0</v>
      </c>
      <c r="J785" s="10"/>
    </row>
    <row r="786">
      <c r="A786" s="22"/>
      <c r="B786" s="10"/>
      <c r="E786" s="10"/>
      <c r="F786" s="25">
        <v>0.0</v>
      </c>
      <c r="G786" s="29"/>
      <c r="H786" s="27">
        <v>0.0</v>
      </c>
      <c r="I786" s="27">
        <v>0.0</v>
      </c>
      <c r="J786" s="10"/>
    </row>
    <row r="787">
      <c r="A787" s="22"/>
      <c r="B787" s="10"/>
      <c r="E787" s="10"/>
      <c r="F787" s="25">
        <v>0.0</v>
      </c>
      <c r="G787" s="29"/>
      <c r="H787" s="27">
        <v>0.0</v>
      </c>
      <c r="I787" s="27">
        <v>0.0</v>
      </c>
      <c r="J787" s="10"/>
    </row>
    <row r="788">
      <c r="A788" s="22"/>
      <c r="B788" s="10"/>
      <c r="E788" s="10"/>
      <c r="F788" s="25">
        <v>0.0</v>
      </c>
      <c r="G788" s="29"/>
      <c r="H788" s="27">
        <v>0.0</v>
      </c>
      <c r="I788" s="27">
        <v>0.0</v>
      </c>
      <c r="J788" s="10"/>
    </row>
    <row r="789">
      <c r="A789" s="22"/>
      <c r="B789" s="10"/>
      <c r="E789" s="10"/>
      <c r="F789" s="25">
        <v>0.0</v>
      </c>
      <c r="G789" s="29"/>
      <c r="H789" s="27">
        <v>0.0</v>
      </c>
      <c r="I789" s="27">
        <v>0.0</v>
      </c>
      <c r="J789" s="10"/>
    </row>
    <row r="790">
      <c r="A790" s="22"/>
      <c r="B790" s="10"/>
      <c r="E790" s="10"/>
      <c r="F790" s="25">
        <v>0.0</v>
      </c>
      <c r="G790" s="29"/>
      <c r="H790" s="27">
        <v>0.0</v>
      </c>
      <c r="I790" s="27">
        <v>0.0</v>
      </c>
      <c r="J790" s="10"/>
    </row>
    <row r="791">
      <c r="A791" s="22"/>
      <c r="B791" s="10"/>
      <c r="E791" s="10"/>
      <c r="F791" s="25">
        <v>0.0</v>
      </c>
      <c r="G791" s="29"/>
      <c r="H791" s="27">
        <v>0.0</v>
      </c>
      <c r="I791" s="27">
        <v>0.0</v>
      </c>
      <c r="J791" s="10"/>
    </row>
    <row r="792">
      <c r="A792" s="22"/>
      <c r="B792" s="10"/>
      <c r="E792" s="10"/>
      <c r="F792" s="25">
        <v>0.0</v>
      </c>
      <c r="G792" s="29"/>
      <c r="H792" s="27">
        <v>0.0</v>
      </c>
      <c r="I792" s="27">
        <v>0.0</v>
      </c>
      <c r="J792" s="10"/>
    </row>
    <row r="793">
      <c r="A793" s="22"/>
      <c r="B793" s="10"/>
      <c r="E793" s="10"/>
      <c r="F793" s="25">
        <v>0.0</v>
      </c>
      <c r="G793" s="29"/>
      <c r="H793" s="27">
        <v>0.0</v>
      </c>
      <c r="I793" s="27">
        <v>0.0</v>
      </c>
      <c r="J793" s="10"/>
    </row>
    <row r="794">
      <c r="A794" s="22"/>
      <c r="B794" s="10"/>
      <c r="E794" s="10"/>
      <c r="F794" s="25">
        <v>0.0</v>
      </c>
      <c r="G794" s="29"/>
      <c r="H794" s="27">
        <v>0.0</v>
      </c>
      <c r="I794" s="27">
        <v>0.0</v>
      </c>
      <c r="J794" s="10"/>
    </row>
    <row r="795">
      <c r="A795" s="22"/>
      <c r="B795" s="10"/>
      <c r="E795" s="10"/>
      <c r="F795" s="25">
        <v>0.0</v>
      </c>
      <c r="G795" s="29"/>
      <c r="H795" s="27">
        <v>0.0</v>
      </c>
      <c r="I795" s="27">
        <v>0.0</v>
      </c>
      <c r="J795" s="10"/>
    </row>
    <row r="796">
      <c r="A796" s="22"/>
      <c r="B796" s="10"/>
      <c r="E796" s="10"/>
      <c r="F796" s="25">
        <v>0.0</v>
      </c>
      <c r="G796" s="29"/>
      <c r="H796" s="27">
        <v>0.0</v>
      </c>
      <c r="I796" s="27">
        <v>0.0</v>
      </c>
      <c r="J796" s="10"/>
    </row>
    <row r="797">
      <c r="A797" s="22"/>
      <c r="B797" s="10"/>
      <c r="E797" s="10"/>
      <c r="F797" s="25">
        <v>0.0</v>
      </c>
      <c r="G797" s="29"/>
      <c r="H797" s="27">
        <v>0.0</v>
      </c>
      <c r="I797" s="27">
        <v>0.0</v>
      </c>
      <c r="J797" s="10"/>
    </row>
    <row r="798">
      <c r="A798" s="22"/>
      <c r="B798" s="10"/>
      <c r="E798" s="10"/>
      <c r="F798" s="25">
        <v>0.0</v>
      </c>
      <c r="G798" s="29"/>
      <c r="H798" s="27">
        <v>0.0</v>
      </c>
      <c r="I798" s="27">
        <v>0.0</v>
      </c>
      <c r="J798" s="10"/>
    </row>
    <row r="799">
      <c r="A799" s="22"/>
      <c r="B799" s="10"/>
      <c r="E799" s="10"/>
      <c r="F799" s="25">
        <v>0.0</v>
      </c>
      <c r="G799" s="29"/>
      <c r="H799" s="27">
        <v>0.0</v>
      </c>
      <c r="I799" s="27">
        <v>0.0</v>
      </c>
      <c r="J799" s="10"/>
    </row>
    <row r="800">
      <c r="A800" s="22"/>
      <c r="B800" s="10"/>
      <c r="E800" s="10"/>
      <c r="F800" s="25">
        <v>0.0</v>
      </c>
      <c r="G800" s="29"/>
      <c r="H800" s="27">
        <v>0.0</v>
      </c>
      <c r="I800" s="27">
        <v>0.0</v>
      </c>
      <c r="J800" s="10"/>
    </row>
    <row r="801">
      <c r="A801" s="22"/>
      <c r="B801" s="10"/>
      <c r="E801" s="10"/>
      <c r="F801" s="25">
        <v>0.0</v>
      </c>
      <c r="G801" s="29"/>
      <c r="H801" s="27">
        <v>0.0</v>
      </c>
      <c r="I801" s="27">
        <v>0.0</v>
      </c>
      <c r="J801" s="10"/>
    </row>
    <row r="802">
      <c r="A802" s="22"/>
      <c r="B802" s="10"/>
      <c r="E802" s="10"/>
      <c r="F802" s="25">
        <v>0.0</v>
      </c>
      <c r="G802" s="29"/>
      <c r="H802" s="27">
        <v>0.0</v>
      </c>
      <c r="I802" s="27">
        <v>0.0</v>
      </c>
      <c r="J802" s="10"/>
    </row>
    <row r="803">
      <c r="A803" s="22"/>
      <c r="B803" s="10"/>
      <c r="E803" s="10"/>
      <c r="F803" s="25">
        <v>0.0</v>
      </c>
      <c r="G803" s="29"/>
      <c r="H803" s="27">
        <v>0.0</v>
      </c>
      <c r="I803" s="27">
        <v>0.0</v>
      </c>
      <c r="J803" s="10"/>
    </row>
    <row r="804">
      <c r="A804" s="22"/>
      <c r="B804" s="10"/>
      <c r="E804" s="10"/>
      <c r="F804" s="25">
        <v>0.0</v>
      </c>
      <c r="G804" s="29"/>
      <c r="H804" s="27">
        <v>0.0</v>
      </c>
      <c r="I804" s="27">
        <v>0.0</v>
      </c>
      <c r="J804" s="10"/>
    </row>
    <row r="805">
      <c r="A805" s="22"/>
      <c r="B805" s="10"/>
      <c r="E805" s="10"/>
      <c r="F805" s="25">
        <v>0.0</v>
      </c>
      <c r="G805" s="29"/>
      <c r="H805" s="27">
        <v>0.0</v>
      </c>
      <c r="I805" s="27">
        <v>0.0</v>
      </c>
      <c r="J805" s="10"/>
    </row>
    <row r="806">
      <c r="A806" s="22"/>
      <c r="B806" s="10"/>
      <c r="E806" s="10"/>
      <c r="F806" s="25">
        <v>0.0</v>
      </c>
      <c r="G806" s="29"/>
      <c r="H806" s="27">
        <v>0.0</v>
      </c>
      <c r="I806" s="27">
        <v>0.0</v>
      </c>
      <c r="J806" s="10"/>
    </row>
    <row r="807">
      <c r="A807" s="22"/>
      <c r="B807" s="10"/>
      <c r="E807" s="10"/>
      <c r="F807" s="25">
        <v>0.0</v>
      </c>
      <c r="G807" s="29"/>
      <c r="H807" s="27">
        <v>0.0</v>
      </c>
      <c r="I807" s="27">
        <v>0.0</v>
      </c>
      <c r="J807" s="10"/>
    </row>
    <row r="808">
      <c r="A808" s="22"/>
      <c r="B808" s="10"/>
      <c r="E808" s="10"/>
      <c r="F808" s="25">
        <v>0.0</v>
      </c>
      <c r="G808" s="29"/>
      <c r="H808" s="27">
        <v>0.0</v>
      </c>
      <c r="I808" s="27">
        <v>0.0</v>
      </c>
      <c r="J808" s="10"/>
    </row>
    <row r="809">
      <c r="A809" s="22"/>
      <c r="B809" s="10"/>
      <c r="E809" s="10"/>
      <c r="F809" s="25">
        <v>0.0</v>
      </c>
      <c r="G809" s="29"/>
      <c r="H809" s="27">
        <v>0.0</v>
      </c>
      <c r="I809" s="27">
        <v>0.0</v>
      </c>
      <c r="J809" s="10"/>
    </row>
    <row r="810">
      <c r="A810" s="22"/>
      <c r="B810" s="10"/>
      <c r="E810" s="10"/>
      <c r="F810" s="25">
        <v>0.0</v>
      </c>
      <c r="G810" s="29"/>
      <c r="H810" s="27">
        <v>0.0</v>
      </c>
      <c r="I810" s="27">
        <v>0.0</v>
      </c>
      <c r="J810" s="10"/>
    </row>
    <row r="811">
      <c r="A811" s="22"/>
      <c r="B811" s="10"/>
      <c r="E811" s="10"/>
      <c r="F811" s="25">
        <v>0.0</v>
      </c>
      <c r="G811" s="29"/>
      <c r="H811" s="27">
        <v>0.0</v>
      </c>
      <c r="I811" s="27">
        <v>0.0</v>
      </c>
      <c r="J811" s="10"/>
    </row>
    <row r="812">
      <c r="A812" s="22"/>
      <c r="B812" s="10"/>
      <c r="E812" s="10"/>
      <c r="F812" s="25">
        <v>0.0</v>
      </c>
      <c r="G812" s="29"/>
      <c r="H812" s="27">
        <v>0.0</v>
      </c>
      <c r="I812" s="27">
        <v>0.0</v>
      </c>
      <c r="J812" s="10"/>
    </row>
    <row r="813">
      <c r="A813" s="22"/>
      <c r="B813" s="10"/>
      <c r="E813" s="10"/>
      <c r="F813" s="25">
        <v>0.0</v>
      </c>
      <c r="G813" s="29"/>
      <c r="H813" s="27">
        <v>0.0</v>
      </c>
      <c r="I813" s="27">
        <v>0.0</v>
      </c>
      <c r="J813" s="10"/>
    </row>
    <row r="814">
      <c r="A814" s="22"/>
      <c r="B814" s="10"/>
      <c r="E814" s="10"/>
      <c r="F814" s="25">
        <v>0.0</v>
      </c>
      <c r="G814" s="29"/>
      <c r="H814" s="27">
        <v>0.0</v>
      </c>
      <c r="I814" s="27">
        <v>0.0</v>
      </c>
      <c r="J814" s="10"/>
    </row>
    <row r="815">
      <c r="A815" s="22"/>
      <c r="B815" s="10"/>
      <c r="E815" s="10"/>
      <c r="F815" s="25">
        <v>0.0</v>
      </c>
      <c r="G815" s="29"/>
      <c r="H815" s="27">
        <v>0.0</v>
      </c>
      <c r="I815" s="27">
        <v>0.0</v>
      </c>
      <c r="J815" s="10"/>
    </row>
    <row r="816">
      <c r="A816" s="22"/>
      <c r="B816" s="10"/>
      <c r="E816" s="10"/>
      <c r="F816" s="25">
        <v>0.0</v>
      </c>
      <c r="G816" s="29"/>
      <c r="H816" s="27">
        <v>0.0</v>
      </c>
      <c r="I816" s="27">
        <v>0.0</v>
      </c>
      <c r="J816" s="10"/>
    </row>
    <row r="817">
      <c r="A817" s="22"/>
      <c r="B817" s="10"/>
      <c r="E817" s="10"/>
      <c r="F817" s="25">
        <v>0.0</v>
      </c>
      <c r="G817" s="29"/>
      <c r="H817" s="27">
        <v>0.0</v>
      </c>
      <c r="I817" s="27">
        <v>0.0</v>
      </c>
      <c r="J817" s="10"/>
    </row>
    <row r="818">
      <c r="A818" s="22"/>
      <c r="B818" s="10"/>
      <c r="E818" s="10"/>
      <c r="F818" s="25">
        <v>0.0</v>
      </c>
      <c r="G818" s="29"/>
      <c r="H818" s="27">
        <v>0.0</v>
      </c>
      <c r="I818" s="27">
        <v>0.0</v>
      </c>
      <c r="J818" s="10"/>
    </row>
    <row r="819">
      <c r="A819" s="22"/>
      <c r="B819" s="10"/>
      <c r="E819" s="10"/>
      <c r="F819" s="25">
        <v>0.0</v>
      </c>
      <c r="G819" s="29"/>
      <c r="H819" s="27">
        <v>0.0</v>
      </c>
      <c r="I819" s="27">
        <v>0.0</v>
      </c>
      <c r="J819" s="10"/>
    </row>
    <row r="820">
      <c r="A820" s="22"/>
      <c r="B820" s="10"/>
      <c r="E820" s="10"/>
      <c r="F820" s="25">
        <v>0.0</v>
      </c>
      <c r="G820" s="29"/>
      <c r="H820" s="27">
        <v>0.0</v>
      </c>
      <c r="I820" s="27">
        <v>0.0</v>
      </c>
      <c r="J820" s="10"/>
    </row>
    <row r="821">
      <c r="A821" s="22"/>
      <c r="B821" s="10"/>
      <c r="E821" s="10"/>
      <c r="F821" s="25">
        <v>0.0</v>
      </c>
      <c r="G821" s="29"/>
      <c r="H821" s="27">
        <v>0.0</v>
      </c>
      <c r="I821" s="27">
        <v>0.0</v>
      </c>
      <c r="J821" s="10"/>
    </row>
    <row r="822">
      <c r="A822" s="22"/>
      <c r="B822" s="10"/>
      <c r="E822" s="10"/>
      <c r="F822" s="25">
        <v>0.0</v>
      </c>
      <c r="G822" s="29"/>
      <c r="H822" s="27">
        <v>0.0</v>
      </c>
      <c r="I822" s="27">
        <v>0.0</v>
      </c>
      <c r="J822" s="10"/>
    </row>
    <row r="823">
      <c r="A823" s="22"/>
      <c r="B823" s="10"/>
      <c r="E823" s="10"/>
      <c r="F823" s="25">
        <v>0.0</v>
      </c>
      <c r="G823" s="29"/>
      <c r="H823" s="27">
        <v>0.0</v>
      </c>
      <c r="I823" s="27">
        <v>0.0</v>
      </c>
      <c r="J823" s="10"/>
    </row>
    <row r="824">
      <c r="A824" s="22"/>
      <c r="B824" s="10"/>
      <c r="E824" s="10"/>
      <c r="F824" s="25">
        <v>0.0</v>
      </c>
      <c r="G824" s="29"/>
      <c r="H824" s="27">
        <v>0.0</v>
      </c>
      <c r="I824" s="27">
        <v>0.0</v>
      </c>
      <c r="J824" s="10"/>
    </row>
    <row r="825">
      <c r="A825" s="22"/>
      <c r="B825" s="10"/>
      <c r="E825" s="10"/>
      <c r="F825" s="25">
        <v>0.0</v>
      </c>
      <c r="G825" s="29"/>
      <c r="H825" s="27">
        <v>0.0</v>
      </c>
      <c r="I825" s="27">
        <v>0.0</v>
      </c>
      <c r="J825" s="10"/>
    </row>
    <row r="826">
      <c r="A826" s="22"/>
      <c r="B826" s="10"/>
      <c r="E826" s="10"/>
      <c r="F826" s="25">
        <v>0.0</v>
      </c>
      <c r="G826" s="29"/>
      <c r="H826" s="27">
        <v>0.0</v>
      </c>
      <c r="I826" s="27">
        <v>0.0</v>
      </c>
      <c r="J826" s="10"/>
    </row>
    <row r="827">
      <c r="A827" s="22"/>
      <c r="B827" s="10"/>
      <c r="E827" s="10"/>
      <c r="F827" s="25">
        <v>0.0</v>
      </c>
      <c r="G827" s="29"/>
      <c r="H827" s="27">
        <v>0.0</v>
      </c>
      <c r="I827" s="27">
        <v>0.0</v>
      </c>
      <c r="J827" s="10"/>
    </row>
    <row r="828">
      <c r="A828" s="22"/>
      <c r="B828" s="10"/>
      <c r="E828" s="10"/>
      <c r="F828" s="25">
        <v>0.0</v>
      </c>
      <c r="G828" s="29"/>
      <c r="H828" s="27">
        <v>0.0</v>
      </c>
      <c r="I828" s="27">
        <v>0.0</v>
      </c>
      <c r="J828" s="10"/>
    </row>
    <row r="829">
      <c r="A829" s="22"/>
      <c r="B829" s="10"/>
      <c r="E829" s="10"/>
      <c r="F829" s="25">
        <v>0.0</v>
      </c>
      <c r="G829" s="29"/>
      <c r="H829" s="27">
        <v>0.0</v>
      </c>
      <c r="I829" s="27">
        <v>0.0</v>
      </c>
      <c r="J829" s="10"/>
    </row>
    <row r="830">
      <c r="A830" s="22"/>
      <c r="B830" s="10"/>
      <c r="E830" s="10"/>
      <c r="F830" s="25">
        <v>0.0</v>
      </c>
      <c r="G830" s="29"/>
      <c r="H830" s="27">
        <v>0.0</v>
      </c>
      <c r="I830" s="27">
        <v>0.0</v>
      </c>
      <c r="J830" s="10"/>
    </row>
    <row r="831">
      <c r="A831" s="22"/>
      <c r="B831" s="10"/>
      <c r="E831" s="10"/>
      <c r="F831" s="25">
        <v>0.0</v>
      </c>
      <c r="G831" s="29"/>
      <c r="H831" s="27">
        <v>0.0</v>
      </c>
      <c r="I831" s="27">
        <v>0.0</v>
      </c>
      <c r="J831" s="10"/>
    </row>
    <row r="832">
      <c r="A832" s="22"/>
      <c r="B832" s="10"/>
      <c r="E832" s="10"/>
      <c r="F832" s="25">
        <v>0.0</v>
      </c>
      <c r="G832" s="29"/>
      <c r="H832" s="27">
        <v>0.0</v>
      </c>
      <c r="I832" s="27">
        <v>0.0</v>
      </c>
      <c r="J832" s="10"/>
    </row>
    <row r="833">
      <c r="A833" s="22"/>
      <c r="B833" s="10"/>
      <c r="E833" s="10"/>
      <c r="F833" s="25">
        <v>0.0</v>
      </c>
      <c r="G833" s="29"/>
      <c r="H833" s="27">
        <v>0.0</v>
      </c>
      <c r="I833" s="27">
        <v>0.0</v>
      </c>
      <c r="J833" s="10"/>
    </row>
    <row r="834">
      <c r="A834" s="22"/>
      <c r="B834" s="10"/>
      <c r="E834" s="10"/>
      <c r="F834" s="25">
        <v>0.0</v>
      </c>
      <c r="G834" s="29"/>
      <c r="H834" s="27">
        <v>0.0</v>
      </c>
      <c r="I834" s="27">
        <v>0.0</v>
      </c>
      <c r="J834" s="10"/>
    </row>
    <row r="835">
      <c r="A835" s="22"/>
      <c r="B835" s="10"/>
      <c r="E835" s="10"/>
      <c r="F835" s="25">
        <v>0.0</v>
      </c>
      <c r="G835" s="29"/>
      <c r="H835" s="27">
        <v>0.0</v>
      </c>
      <c r="I835" s="27">
        <v>0.0</v>
      </c>
      <c r="J835" s="10"/>
    </row>
    <row r="836">
      <c r="A836" s="22"/>
      <c r="B836" s="10"/>
      <c r="E836" s="10"/>
      <c r="F836" s="25">
        <v>0.0</v>
      </c>
      <c r="G836" s="29"/>
      <c r="H836" s="27">
        <v>0.0</v>
      </c>
      <c r="I836" s="27">
        <v>0.0</v>
      </c>
      <c r="J836" s="10"/>
    </row>
    <row r="837">
      <c r="A837" s="22"/>
      <c r="B837" s="10"/>
      <c r="E837" s="10"/>
      <c r="F837" s="25">
        <v>0.0</v>
      </c>
      <c r="G837" s="29"/>
      <c r="H837" s="27">
        <v>0.0</v>
      </c>
      <c r="I837" s="27">
        <v>0.0</v>
      </c>
      <c r="J837" s="10"/>
    </row>
    <row r="838">
      <c r="A838" s="22"/>
      <c r="B838" s="10"/>
      <c r="E838" s="10"/>
      <c r="F838" s="25">
        <v>0.0</v>
      </c>
      <c r="G838" s="29"/>
      <c r="H838" s="27">
        <v>0.0</v>
      </c>
      <c r="I838" s="27">
        <v>0.0</v>
      </c>
      <c r="J838" s="10"/>
    </row>
    <row r="839">
      <c r="A839" s="22"/>
      <c r="B839" s="10"/>
      <c r="E839" s="10"/>
      <c r="F839" s="25">
        <v>0.0</v>
      </c>
      <c r="G839" s="29"/>
      <c r="H839" s="27">
        <v>0.0</v>
      </c>
      <c r="I839" s="27">
        <v>0.0</v>
      </c>
      <c r="J839" s="10"/>
    </row>
    <row r="840">
      <c r="A840" s="22"/>
      <c r="B840" s="10"/>
      <c r="E840" s="10"/>
      <c r="F840" s="25">
        <v>0.0</v>
      </c>
      <c r="G840" s="29"/>
      <c r="H840" s="27">
        <v>0.0</v>
      </c>
      <c r="I840" s="27">
        <v>0.0</v>
      </c>
      <c r="J840" s="10"/>
    </row>
    <row r="841">
      <c r="A841" s="22"/>
      <c r="B841" s="10"/>
      <c r="E841" s="10"/>
      <c r="F841" s="25">
        <v>0.0</v>
      </c>
      <c r="G841" s="29"/>
      <c r="H841" s="27">
        <v>0.0</v>
      </c>
      <c r="I841" s="27">
        <v>0.0</v>
      </c>
      <c r="J841" s="10"/>
    </row>
    <row r="842">
      <c r="A842" s="22"/>
      <c r="B842" s="10"/>
      <c r="E842" s="10"/>
      <c r="F842" s="25">
        <v>0.0</v>
      </c>
      <c r="G842" s="29"/>
      <c r="H842" s="27">
        <v>0.0</v>
      </c>
      <c r="I842" s="27">
        <v>0.0</v>
      </c>
      <c r="J842" s="10"/>
    </row>
    <row r="843">
      <c r="A843" s="22"/>
      <c r="B843" s="10"/>
      <c r="E843" s="10"/>
      <c r="F843" s="25">
        <v>0.0</v>
      </c>
      <c r="G843" s="29"/>
      <c r="H843" s="27">
        <v>0.0</v>
      </c>
      <c r="I843" s="27">
        <v>0.0</v>
      </c>
      <c r="J843" s="10"/>
    </row>
    <row r="844">
      <c r="A844" s="22"/>
      <c r="B844" s="10"/>
      <c r="E844" s="10"/>
      <c r="F844" s="25">
        <v>0.0</v>
      </c>
      <c r="G844" s="29"/>
      <c r="H844" s="27">
        <v>0.0</v>
      </c>
      <c r="I844" s="27">
        <v>0.0</v>
      </c>
      <c r="J844" s="10"/>
    </row>
    <row r="845">
      <c r="A845" s="22"/>
      <c r="B845" s="10"/>
      <c r="E845" s="10"/>
      <c r="F845" s="25">
        <v>0.0</v>
      </c>
      <c r="G845" s="29"/>
      <c r="H845" s="27">
        <v>0.0</v>
      </c>
      <c r="I845" s="27">
        <v>0.0</v>
      </c>
      <c r="J845" s="10"/>
    </row>
    <row r="846">
      <c r="A846" s="22"/>
      <c r="B846" s="10"/>
      <c r="E846" s="10"/>
      <c r="F846" s="25">
        <v>0.0</v>
      </c>
      <c r="G846" s="29"/>
      <c r="H846" s="27">
        <v>0.0</v>
      </c>
      <c r="I846" s="27">
        <v>0.0</v>
      </c>
      <c r="J846" s="10"/>
    </row>
    <row r="847">
      <c r="A847" s="22"/>
      <c r="B847" s="10"/>
      <c r="E847" s="10"/>
      <c r="F847" s="25">
        <v>0.0</v>
      </c>
      <c r="G847" s="29"/>
      <c r="H847" s="27">
        <v>0.0</v>
      </c>
      <c r="I847" s="27">
        <v>0.0</v>
      </c>
      <c r="J847" s="10"/>
    </row>
    <row r="848">
      <c r="A848" s="22"/>
      <c r="B848" s="10"/>
      <c r="E848" s="10"/>
      <c r="F848" s="25">
        <v>0.0</v>
      </c>
      <c r="G848" s="29"/>
      <c r="H848" s="27">
        <v>0.0</v>
      </c>
      <c r="I848" s="27">
        <v>0.0</v>
      </c>
      <c r="J848" s="10"/>
    </row>
    <row r="849">
      <c r="A849" s="22"/>
      <c r="B849" s="10"/>
      <c r="E849" s="10"/>
      <c r="F849" s="25">
        <v>0.0</v>
      </c>
      <c r="G849" s="29"/>
      <c r="H849" s="27">
        <v>0.0</v>
      </c>
      <c r="I849" s="27">
        <v>0.0</v>
      </c>
      <c r="J849" s="10"/>
    </row>
    <row r="850">
      <c r="A850" s="22"/>
      <c r="B850" s="10"/>
      <c r="E850" s="10"/>
      <c r="F850" s="25">
        <v>0.0</v>
      </c>
      <c r="G850" s="29"/>
      <c r="H850" s="27">
        <v>0.0</v>
      </c>
      <c r="I850" s="27">
        <v>0.0</v>
      </c>
      <c r="J850" s="10"/>
    </row>
    <row r="851">
      <c r="A851" s="22"/>
      <c r="B851" s="10"/>
      <c r="E851" s="10"/>
      <c r="F851" s="25">
        <v>0.0</v>
      </c>
      <c r="G851" s="29"/>
      <c r="H851" s="27">
        <v>0.0</v>
      </c>
      <c r="I851" s="27">
        <v>0.0</v>
      </c>
      <c r="J851" s="10"/>
    </row>
    <row r="852">
      <c r="A852" s="22"/>
      <c r="B852" s="10"/>
      <c r="E852" s="10"/>
      <c r="F852" s="25">
        <v>0.0</v>
      </c>
      <c r="G852" s="29"/>
      <c r="H852" s="27">
        <v>0.0</v>
      </c>
      <c r="I852" s="27">
        <v>0.0</v>
      </c>
      <c r="J852" s="10"/>
    </row>
    <row r="853">
      <c r="A853" s="22"/>
      <c r="B853" s="10"/>
      <c r="E853" s="10"/>
      <c r="F853" s="25">
        <v>0.0</v>
      </c>
      <c r="G853" s="29"/>
      <c r="H853" s="27">
        <v>0.0</v>
      </c>
      <c r="I853" s="27">
        <v>0.0</v>
      </c>
      <c r="J853" s="10"/>
    </row>
    <row r="854">
      <c r="A854" s="22"/>
      <c r="B854" s="10"/>
      <c r="E854" s="10"/>
      <c r="F854" s="25">
        <v>0.0</v>
      </c>
      <c r="G854" s="29"/>
      <c r="H854" s="27">
        <v>0.0</v>
      </c>
      <c r="I854" s="27">
        <v>0.0</v>
      </c>
      <c r="J854" s="10"/>
    </row>
    <row r="855">
      <c r="A855" s="22"/>
      <c r="B855" s="10"/>
      <c r="E855" s="10"/>
      <c r="F855" s="25">
        <v>0.0</v>
      </c>
      <c r="G855" s="29"/>
      <c r="H855" s="27">
        <v>0.0</v>
      </c>
      <c r="I855" s="27">
        <v>0.0</v>
      </c>
      <c r="J855" s="10"/>
    </row>
    <row r="856">
      <c r="A856" s="22"/>
      <c r="B856" s="10"/>
      <c r="E856" s="10"/>
      <c r="F856" s="25">
        <v>0.0</v>
      </c>
      <c r="G856" s="29"/>
      <c r="H856" s="27">
        <v>0.0</v>
      </c>
      <c r="I856" s="27">
        <v>0.0</v>
      </c>
      <c r="J856" s="10"/>
    </row>
    <row r="857">
      <c r="A857" s="22"/>
      <c r="B857" s="10"/>
      <c r="E857" s="10"/>
      <c r="F857" s="25">
        <v>0.0</v>
      </c>
      <c r="G857" s="29"/>
      <c r="H857" s="27">
        <v>0.0</v>
      </c>
      <c r="I857" s="27">
        <v>0.0</v>
      </c>
      <c r="J857" s="10"/>
    </row>
    <row r="858">
      <c r="A858" s="22"/>
      <c r="B858" s="10"/>
      <c r="E858" s="10"/>
      <c r="F858" s="25">
        <v>0.0</v>
      </c>
      <c r="G858" s="29"/>
      <c r="H858" s="27">
        <v>0.0</v>
      </c>
      <c r="I858" s="27">
        <v>0.0</v>
      </c>
      <c r="J858" s="10"/>
    </row>
    <row r="859">
      <c r="A859" s="22"/>
      <c r="B859" s="10"/>
      <c r="E859" s="10"/>
      <c r="F859" s="25">
        <v>0.0</v>
      </c>
      <c r="G859" s="29"/>
      <c r="H859" s="27">
        <v>0.0</v>
      </c>
      <c r="I859" s="27">
        <v>0.0</v>
      </c>
      <c r="J859" s="10"/>
    </row>
    <row r="860">
      <c r="A860" s="22"/>
      <c r="B860" s="10"/>
      <c r="E860" s="10"/>
      <c r="F860" s="25">
        <v>0.0</v>
      </c>
      <c r="G860" s="29"/>
      <c r="H860" s="27">
        <v>0.0</v>
      </c>
      <c r="I860" s="27">
        <v>0.0</v>
      </c>
      <c r="J860" s="10"/>
    </row>
    <row r="861">
      <c r="A861" s="22"/>
      <c r="B861" s="10"/>
      <c r="E861" s="10"/>
      <c r="F861" s="25">
        <v>0.0</v>
      </c>
      <c r="G861" s="29"/>
      <c r="H861" s="27">
        <v>0.0</v>
      </c>
      <c r="I861" s="27">
        <v>0.0</v>
      </c>
      <c r="J861" s="10"/>
    </row>
    <row r="862">
      <c r="A862" s="22"/>
      <c r="B862" s="10"/>
      <c r="E862" s="10"/>
      <c r="F862" s="25">
        <v>0.0</v>
      </c>
      <c r="G862" s="29"/>
      <c r="H862" s="27">
        <v>0.0</v>
      </c>
      <c r="I862" s="27">
        <v>0.0</v>
      </c>
      <c r="J862" s="10"/>
    </row>
    <row r="863">
      <c r="A863" s="22"/>
      <c r="B863" s="10"/>
      <c r="E863" s="10"/>
      <c r="F863" s="25">
        <v>0.0</v>
      </c>
      <c r="G863" s="29"/>
      <c r="H863" s="27">
        <v>0.0</v>
      </c>
      <c r="I863" s="27">
        <v>0.0</v>
      </c>
      <c r="J863" s="10"/>
    </row>
    <row r="864">
      <c r="A864" s="22"/>
      <c r="B864" s="10"/>
      <c r="E864" s="10"/>
      <c r="F864" s="25">
        <v>0.0</v>
      </c>
      <c r="G864" s="29"/>
      <c r="H864" s="27">
        <v>0.0</v>
      </c>
      <c r="I864" s="27">
        <v>0.0</v>
      </c>
      <c r="J864" s="10"/>
    </row>
    <row r="865">
      <c r="A865" s="22"/>
      <c r="B865" s="10"/>
      <c r="E865" s="10"/>
      <c r="F865" s="25">
        <v>0.0</v>
      </c>
      <c r="G865" s="29"/>
      <c r="H865" s="27">
        <v>0.0</v>
      </c>
      <c r="I865" s="27">
        <v>0.0</v>
      </c>
      <c r="J865" s="10"/>
    </row>
    <row r="866">
      <c r="A866" s="22"/>
      <c r="B866" s="10"/>
      <c r="E866" s="10"/>
      <c r="F866" s="25">
        <v>0.0</v>
      </c>
      <c r="G866" s="29"/>
      <c r="H866" s="27">
        <v>0.0</v>
      </c>
      <c r="I866" s="27">
        <v>0.0</v>
      </c>
      <c r="J866" s="10"/>
    </row>
    <row r="867">
      <c r="A867" s="22"/>
      <c r="B867" s="10"/>
      <c r="E867" s="10"/>
      <c r="F867" s="25">
        <v>0.0</v>
      </c>
      <c r="G867" s="29"/>
      <c r="H867" s="27">
        <v>0.0</v>
      </c>
      <c r="I867" s="27">
        <v>0.0</v>
      </c>
      <c r="J867" s="10"/>
    </row>
    <row r="868">
      <c r="A868" s="22"/>
      <c r="B868" s="10"/>
      <c r="E868" s="10"/>
      <c r="F868" s="25">
        <v>0.0</v>
      </c>
      <c r="G868" s="29"/>
      <c r="H868" s="27">
        <v>0.0</v>
      </c>
      <c r="I868" s="27">
        <v>0.0</v>
      </c>
      <c r="J868" s="10"/>
    </row>
    <row r="869">
      <c r="A869" s="22"/>
      <c r="B869" s="10"/>
      <c r="E869" s="10"/>
      <c r="F869" s="25">
        <v>0.0</v>
      </c>
      <c r="G869" s="29"/>
      <c r="H869" s="27">
        <v>0.0</v>
      </c>
      <c r="I869" s="27">
        <v>0.0</v>
      </c>
      <c r="J869" s="10"/>
    </row>
    <row r="870">
      <c r="A870" s="22"/>
      <c r="B870" s="10"/>
      <c r="E870" s="10"/>
      <c r="F870" s="25">
        <v>0.0</v>
      </c>
      <c r="G870" s="29"/>
      <c r="H870" s="27">
        <v>0.0</v>
      </c>
      <c r="I870" s="27">
        <v>0.0</v>
      </c>
      <c r="J870" s="10"/>
    </row>
    <row r="871">
      <c r="A871" s="22"/>
      <c r="B871" s="10"/>
      <c r="E871" s="10"/>
      <c r="F871" s="25">
        <v>0.0</v>
      </c>
      <c r="G871" s="29"/>
      <c r="H871" s="27">
        <v>0.0</v>
      </c>
      <c r="I871" s="27">
        <v>0.0</v>
      </c>
      <c r="J871" s="10"/>
    </row>
    <row r="872">
      <c r="A872" s="22"/>
      <c r="B872" s="10"/>
      <c r="E872" s="10"/>
      <c r="F872" s="25">
        <v>0.0</v>
      </c>
      <c r="G872" s="29"/>
      <c r="H872" s="27">
        <v>0.0</v>
      </c>
      <c r="I872" s="27">
        <v>0.0</v>
      </c>
      <c r="J872" s="10"/>
    </row>
    <row r="873">
      <c r="A873" s="22"/>
      <c r="B873" s="10"/>
      <c r="E873" s="10"/>
      <c r="F873" s="25">
        <v>0.0</v>
      </c>
      <c r="G873" s="29"/>
      <c r="H873" s="27">
        <v>0.0</v>
      </c>
      <c r="I873" s="27">
        <v>0.0</v>
      </c>
      <c r="J873" s="10"/>
    </row>
    <row r="874">
      <c r="A874" s="22"/>
      <c r="B874" s="10"/>
      <c r="E874" s="10"/>
      <c r="F874" s="25">
        <v>0.0</v>
      </c>
      <c r="G874" s="29"/>
      <c r="H874" s="27">
        <v>0.0</v>
      </c>
      <c r="I874" s="27">
        <v>0.0</v>
      </c>
      <c r="J874" s="10"/>
    </row>
    <row r="875">
      <c r="A875" s="22"/>
      <c r="B875" s="10"/>
      <c r="E875" s="10"/>
      <c r="F875" s="25">
        <v>0.0</v>
      </c>
      <c r="G875" s="29"/>
      <c r="H875" s="27">
        <v>0.0</v>
      </c>
      <c r="I875" s="27">
        <v>0.0</v>
      </c>
      <c r="J875" s="10"/>
    </row>
    <row r="876">
      <c r="A876" s="22"/>
      <c r="B876" s="10"/>
      <c r="E876" s="10"/>
      <c r="F876" s="25">
        <v>0.0</v>
      </c>
      <c r="G876" s="29"/>
      <c r="H876" s="27">
        <v>0.0</v>
      </c>
      <c r="I876" s="27">
        <v>0.0</v>
      </c>
      <c r="J876" s="10"/>
    </row>
    <row r="877">
      <c r="A877" s="22"/>
      <c r="B877" s="10"/>
      <c r="E877" s="10"/>
      <c r="F877" s="25">
        <v>0.0</v>
      </c>
      <c r="G877" s="29"/>
      <c r="H877" s="27">
        <v>0.0</v>
      </c>
      <c r="I877" s="27">
        <v>0.0</v>
      </c>
      <c r="J877" s="10"/>
    </row>
    <row r="878">
      <c r="A878" s="22"/>
      <c r="B878" s="10"/>
      <c r="E878" s="10"/>
      <c r="F878" s="25">
        <v>0.0</v>
      </c>
      <c r="G878" s="29"/>
      <c r="H878" s="27">
        <v>0.0</v>
      </c>
      <c r="I878" s="27">
        <v>0.0</v>
      </c>
      <c r="J878" s="10"/>
    </row>
    <row r="879">
      <c r="A879" s="22"/>
      <c r="B879" s="10"/>
      <c r="E879" s="10"/>
      <c r="F879" s="25">
        <v>0.0</v>
      </c>
      <c r="G879" s="29"/>
      <c r="H879" s="27">
        <v>0.0</v>
      </c>
      <c r="I879" s="27">
        <v>0.0</v>
      </c>
      <c r="J879" s="10"/>
    </row>
    <row r="880">
      <c r="A880" s="22"/>
      <c r="B880" s="10"/>
      <c r="E880" s="10"/>
      <c r="F880" s="25">
        <v>0.0</v>
      </c>
      <c r="G880" s="29"/>
      <c r="H880" s="27">
        <v>0.0</v>
      </c>
      <c r="I880" s="27">
        <v>0.0</v>
      </c>
      <c r="J880" s="10"/>
    </row>
    <row r="881">
      <c r="A881" s="22"/>
      <c r="B881" s="10"/>
      <c r="E881" s="10"/>
      <c r="F881" s="25">
        <v>0.0</v>
      </c>
      <c r="G881" s="29"/>
      <c r="H881" s="27">
        <v>0.0</v>
      </c>
      <c r="I881" s="27">
        <v>0.0</v>
      </c>
      <c r="J881" s="10"/>
    </row>
    <row r="882">
      <c r="A882" s="22"/>
      <c r="B882" s="10"/>
      <c r="E882" s="10"/>
      <c r="F882" s="25">
        <v>0.0</v>
      </c>
      <c r="G882" s="29"/>
      <c r="H882" s="27">
        <v>0.0</v>
      </c>
      <c r="I882" s="27">
        <v>0.0</v>
      </c>
      <c r="J882" s="10"/>
    </row>
    <row r="883">
      <c r="A883" s="22"/>
      <c r="B883" s="10"/>
      <c r="E883" s="10"/>
      <c r="F883" s="25">
        <v>0.0</v>
      </c>
      <c r="G883" s="29"/>
      <c r="H883" s="27">
        <v>0.0</v>
      </c>
      <c r="I883" s="27">
        <v>0.0</v>
      </c>
      <c r="J883" s="10"/>
    </row>
    <row r="884">
      <c r="A884" s="22"/>
      <c r="B884" s="10"/>
      <c r="E884" s="10"/>
      <c r="F884" s="25">
        <v>0.0</v>
      </c>
      <c r="G884" s="29"/>
      <c r="H884" s="27">
        <v>0.0</v>
      </c>
      <c r="I884" s="27">
        <v>0.0</v>
      </c>
      <c r="J884" s="10"/>
    </row>
    <row r="885">
      <c r="A885" s="22"/>
      <c r="B885" s="10"/>
      <c r="E885" s="10"/>
      <c r="F885" s="25">
        <v>0.0</v>
      </c>
      <c r="G885" s="29"/>
      <c r="H885" s="27">
        <v>0.0</v>
      </c>
      <c r="I885" s="27">
        <v>0.0</v>
      </c>
      <c r="J885" s="10"/>
    </row>
    <row r="886">
      <c r="A886" s="22"/>
      <c r="B886" s="10"/>
      <c r="E886" s="10"/>
      <c r="F886" s="25">
        <v>0.0</v>
      </c>
      <c r="G886" s="29"/>
      <c r="H886" s="27">
        <v>0.0</v>
      </c>
      <c r="I886" s="27">
        <v>0.0</v>
      </c>
      <c r="J886" s="10"/>
    </row>
    <row r="887">
      <c r="A887" s="22"/>
      <c r="B887" s="10"/>
      <c r="E887" s="10"/>
      <c r="F887" s="25">
        <v>0.0</v>
      </c>
      <c r="G887" s="29"/>
      <c r="H887" s="27">
        <v>0.0</v>
      </c>
      <c r="I887" s="27">
        <v>0.0</v>
      </c>
      <c r="J887" s="10"/>
    </row>
    <row r="888">
      <c r="A888" s="22"/>
      <c r="B888" s="10"/>
      <c r="E888" s="10"/>
      <c r="F888" s="25">
        <v>0.0</v>
      </c>
      <c r="G888" s="29"/>
      <c r="H888" s="27">
        <v>0.0</v>
      </c>
      <c r="I888" s="27">
        <v>0.0</v>
      </c>
      <c r="J888" s="10"/>
    </row>
    <row r="889">
      <c r="A889" s="22"/>
      <c r="B889" s="10"/>
      <c r="E889" s="10"/>
      <c r="F889" s="25">
        <v>0.0</v>
      </c>
      <c r="G889" s="29"/>
      <c r="H889" s="27">
        <v>0.0</v>
      </c>
      <c r="I889" s="27">
        <v>0.0</v>
      </c>
      <c r="J889" s="10"/>
    </row>
    <row r="890">
      <c r="A890" s="22"/>
      <c r="B890" s="10"/>
      <c r="E890" s="10"/>
      <c r="F890" s="25">
        <v>0.0</v>
      </c>
      <c r="G890" s="29"/>
      <c r="H890" s="27">
        <v>0.0</v>
      </c>
      <c r="I890" s="27">
        <v>0.0</v>
      </c>
      <c r="J890" s="10"/>
    </row>
    <row r="891">
      <c r="A891" s="22"/>
      <c r="B891" s="10"/>
      <c r="E891" s="10"/>
      <c r="F891" s="25">
        <v>0.0</v>
      </c>
      <c r="G891" s="29"/>
      <c r="H891" s="27">
        <v>0.0</v>
      </c>
      <c r="I891" s="27">
        <v>0.0</v>
      </c>
      <c r="J891" s="10"/>
    </row>
    <row r="892">
      <c r="A892" s="22"/>
      <c r="B892" s="10"/>
      <c r="E892" s="10"/>
      <c r="F892" s="25">
        <v>0.0</v>
      </c>
      <c r="G892" s="29"/>
      <c r="H892" s="27">
        <v>0.0</v>
      </c>
      <c r="I892" s="27">
        <v>0.0</v>
      </c>
      <c r="J892" s="10"/>
    </row>
    <row r="893">
      <c r="A893" s="22"/>
      <c r="B893" s="10"/>
      <c r="E893" s="10"/>
      <c r="F893" s="25">
        <v>0.0</v>
      </c>
      <c r="G893" s="29"/>
      <c r="H893" s="27">
        <v>0.0</v>
      </c>
      <c r="I893" s="27">
        <v>0.0</v>
      </c>
      <c r="J893" s="10"/>
    </row>
    <row r="894">
      <c r="A894" s="22"/>
      <c r="B894" s="10"/>
      <c r="E894" s="10"/>
      <c r="F894" s="25">
        <v>0.0</v>
      </c>
      <c r="G894" s="29"/>
      <c r="H894" s="27">
        <v>0.0</v>
      </c>
      <c r="I894" s="27">
        <v>0.0</v>
      </c>
      <c r="J894" s="10"/>
    </row>
    <row r="895">
      <c r="A895" s="22"/>
      <c r="B895" s="10"/>
      <c r="E895" s="10"/>
      <c r="F895" s="25">
        <v>0.0</v>
      </c>
      <c r="G895" s="29"/>
      <c r="H895" s="27">
        <v>0.0</v>
      </c>
      <c r="I895" s="27">
        <v>0.0</v>
      </c>
      <c r="J895" s="10"/>
    </row>
    <row r="896">
      <c r="A896" s="22"/>
      <c r="B896" s="10"/>
      <c r="E896" s="10"/>
      <c r="F896" s="25">
        <v>0.0</v>
      </c>
      <c r="G896" s="29"/>
      <c r="H896" s="27">
        <v>0.0</v>
      </c>
      <c r="I896" s="27">
        <v>0.0</v>
      </c>
      <c r="J896" s="10"/>
    </row>
    <row r="897">
      <c r="A897" s="22"/>
      <c r="B897" s="10"/>
      <c r="E897" s="10"/>
      <c r="F897" s="25">
        <v>0.0</v>
      </c>
      <c r="G897" s="29"/>
      <c r="H897" s="27">
        <v>0.0</v>
      </c>
      <c r="I897" s="27">
        <v>0.0</v>
      </c>
      <c r="J897" s="10"/>
    </row>
    <row r="898">
      <c r="A898" s="22"/>
      <c r="B898" s="10"/>
      <c r="E898" s="10"/>
      <c r="F898" s="25">
        <v>0.0</v>
      </c>
      <c r="G898" s="29"/>
      <c r="H898" s="27">
        <v>0.0</v>
      </c>
      <c r="I898" s="27">
        <v>0.0</v>
      </c>
      <c r="J898" s="10"/>
    </row>
    <row r="899">
      <c r="A899" s="22"/>
      <c r="B899" s="10"/>
      <c r="E899" s="10"/>
      <c r="F899" s="25">
        <v>0.0</v>
      </c>
      <c r="G899" s="29"/>
      <c r="H899" s="27">
        <v>0.0</v>
      </c>
      <c r="I899" s="27">
        <v>0.0</v>
      </c>
      <c r="J899" s="10"/>
    </row>
    <row r="900">
      <c r="A900" s="22"/>
      <c r="B900" s="10"/>
      <c r="E900" s="10"/>
      <c r="F900" s="25">
        <v>0.0</v>
      </c>
      <c r="G900" s="29"/>
      <c r="H900" s="27">
        <v>0.0</v>
      </c>
      <c r="I900" s="27">
        <v>0.0</v>
      </c>
      <c r="J900" s="10"/>
    </row>
    <row r="901">
      <c r="A901" s="22"/>
      <c r="B901" s="10"/>
      <c r="E901" s="10"/>
      <c r="F901" s="25">
        <v>0.0</v>
      </c>
      <c r="G901" s="29"/>
      <c r="H901" s="27">
        <v>0.0</v>
      </c>
      <c r="I901" s="27">
        <v>0.0</v>
      </c>
      <c r="J901" s="10"/>
    </row>
    <row r="902">
      <c r="A902" s="22"/>
      <c r="B902" s="10"/>
      <c r="E902" s="10"/>
      <c r="F902" s="25">
        <v>0.0</v>
      </c>
      <c r="G902" s="29"/>
      <c r="H902" s="27">
        <v>0.0</v>
      </c>
      <c r="I902" s="27">
        <v>0.0</v>
      </c>
      <c r="J902" s="10"/>
    </row>
    <row r="903">
      <c r="A903" s="22"/>
      <c r="B903" s="10"/>
      <c r="E903" s="10"/>
      <c r="F903" s="25">
        <v>0.0</v>
      </c>
      <c r="G903" s="29"/>
      <c r="H903" s="27">
        <v>0.0</v>
      </c>
      <c r="I903" s="27">
        <v>0.0</v>
      </c>
      <c r="J903" s="10"/>
    </row>
    <row r="904">
      <c r="A904" s="22"/>
      <c r="B904" s="10"/>
      <c r="E904" s="10"/>
      <c r="F904" s="25">
        <v>0.0</v>
      </c>
      <c r="G904" s="29"/>
      <c r="H904" s="27">
        <v>0.0</v>
      </c>
      <c r="I904" s="27">
        <v>0.0</v>
      </c>
      <c r="J904" s="10"/>
    </row>
    <row r="905">
      <c r="A905" s="22"/>
      <c r="B905" s="10"/>
      <c r="E905" s="10"/>
      <c r="F905" s="25">
        <v>0.0</v>
      </c>
      <c r="G905" s="29"/>
      <c r="H905" s="27">
        <v>0.0</v>
      </c>
      <c r="I905" s="27">
        <v>0.0</v>
      </c>
      <c r="J905" s="10"/>
    </row>
    <row r="906">
      <c r="A906" s="22"/>
      <c r="B906" s="10"/>
      <c r="E906" s="10"/>
      <c r="F906" s="25">
        <v>0.0</v>
      </c>
      <c r="G906" s="29"/>
      <c r="H906" s="27">
        <v>0.0</v>
      </c>
      <c r="I906" s="27">
        <v>0.0</v>
      </c>
      <c r="J906" s="10"/>
    </row>
    <row r="907">
      <c r="A907" s="22"/>
      <c r="B907" s="10"/>
      <c r="E907" s="10"/>
      <c r="F907" s="25">
        <v>0.0</v>
      </c>
      <c r="G907" s="29"/>
      <c r="H907" s="27">
        <v>0.0</v>
      </c>
      <c r="I907" s="27">
        <v>0.0</v>
      </c>
      <c r="J907" s="10"/>
    </row>
    <row r="908">
      <c r="A908" s="22"/>
      <c r="B908" s="10"/>
      <c r="E908" s="10"/>
      <c r="F908" s="25">
        <v>0.0</v>
      </c>
      <c r="G908" s="29"/>
      <c r="H908" s="27">
        <v>0.0</v>
      </c>
      <c r="I908" s="27">
        <v>0.0</v>
      </c>
      <c r="J908" s="10"/>
    </row>
    <row r="909">
      <c r="A909" s="22"/>
      <c r="B909" s="10"/>
      <c r="E909" s="10"/>
      <c r="F909" s="25">
        <v>0.0</v>
      </c>
      <c r="G909" s="29"/>
      <c r="H909" s="27">
        <v>0.0</v>
      </c>
      <c r="I909" s="27">
        <v>0.0</v>
      </c>
      <c r="J909" s="10"/>
    </row>
    <row r="910">
      <c r="A910" s="22"/>
      <c r="B910" s="10"/>
      <c r="E910" s="10"/>
      <c r="F910" s="25">
        <v>0.0</v>
      </c>
      <c r="G910" s="29"/>
      <c r="H910" s="27">
        <v>0.0</v>
      </c>
      <c r="I910" s="27">
        <v>0.0</v>
      </c>
      <c r="J910" s="10"/>
    </row>
    <row r="911">
      <c r="A911" s="22"/>
      <c r="B911" s="10"/>
      <c r="E911" s="10"/>
      <c r="F911" s="25">
        <v>0.0</v>
      </c>
      <c r="G911" s="29"/>
      <c r="H911" s="27">
        <v>0.0</v>
      </c>
      <c r="I911" s="27">
        <v>0.0</v>
      </c>
      <c r="J911" s="10"/>
    </row>
    <row r="912">
      <c r="A912" s="22"/>
      <c r="B912" s="10"/>
      <c r="E912" s="10"/>
      <c r="F912" s="25">
        <v>0.0</v>
      </c>
      <c r="G912" s="29"/>
      <c r="H912" s="27">
        <v>0.0</v>
      </c>
      <c r="I912" s="27">
        <v>0.0</v>
      </c>
      <c r="J912" s="10"/>
    </row>
    <row r="913">
      <c r="A913" s="22"/>
      <c r="B913" s="10"/>
      <c r="E913" s="10"/>
      <c r="F913" s="25">
        <v>0.0</v>
      </c>
      <c r="G913" s="29"/>
      <c r="H913" s="27">
        <v>0.0</v>
      </c>
      <c r="I913" s="27">
        <v>0.0</v>
      </c>
      <c r="J913" s="10"/>
    </row>
    <row r="914">
      <c r="A914" s="22"/>
      <c r="B914" s="10"/>
      <c r="E914" s="10"/>
      <c r="F914" s="25">
        <v>0.0</v>
      </c>
      <c r="G914" s="29"/>
      <c r="H914" s="27">
        <v>0.0</v>
      </c>
      <c r="I914" s="27">
        <v>0.0</v>
      </c>
      <c r="J914" s="10"/>
    </row>
    <row r="915">
      <c r="A915" s="22"/>
      <c r="B915" s="10"/>
      <c r="E915" s="10"/>
      <c r="F915" s="25">
        <v>0.0</v>
      </c>
      <c r="G915" s="29"/>
      <c r="H915" s="27">
        <v>0.0</v>
      </c>
      <c r="I915" s="27">
        <v>0.0</v>
      </c>
      <c r="J915" s="10"/>
    </row>
    <row r="916">
      <c r="A916" s="22"/>
      <c r="B916" s="10"/>
      <c r="E916" s="10"/>
      <c r="F916" s="25">
        <v>0.0</v>
      </c>
      <c r="G916" s="29"/>
      <c r="H916" s="27">
        <v>0.0</v>
      </c>
      <c r="I916" s="27">
        <v>0.0</v>
      </c>
      <c r="J916" s="10"/>
    </row>
    <row r="917">
      <c r="A917" s="22"/>
      <c r="B917" s="10"/>
      <c r="E917" s="10"/>
      <c r="F917" s="25">
        <v>0.0</v>
      </c>
      <c r="G917" s="29"/>
      <c r="H917" s="27">
        <v>0.0</v>
      </c>
      <c r="I917" s="27">
        <v>0.0</v>
      </c>
      <c r="J917" s="10"/>
    </row>
    <row r="918">
      <c r="A918" s="22"/>
      <c r="B918" s="10"/>
      <c r="E918" s="10"/>
      <c r="F918" s="25">
        <v>0.0</v>
      </c>
      <c r="G918" s="29"/>
      <c r="H918" s="27">
        <v>0.0</v>
      </c>
      <c r="I918" s="27">
        <v>0.0</v>
      </c>
      <c r="J918" s="10"/>
    </row>
    <row r="919">
      <c r="A919" s="22"/>
      <c r="B919" s="10"/>
      <c r="E919" s="10"/>
      <c r="F919" s="25">
        <v>0.0</v>
      </c>
      <c r="G919" s="29"/>
      <c r="H919" s="27">
        <v>0.0</v>
      </c>
      <c r="I919" s="27">
        <v>0.0</v>
      </c>
      <c r="J919" s="10"/>
    </row>
    <row r="920">
      <c r="A920" s="22"/>
      <c r="B920" s="10"/>
      <c r="E920" s="10"/>
      <c r="F920" s="25">
        <v>0.0</v>
      </c>
      <c r="G920" s="29"/>
      <c r="H920" s="27">
        <v>0.0</v>
      </c>
      <c r="I920" s="27">
        <v>0.0</v>
      </c>
      <c r="J920" s="10"/>
    </row>
    <row r="921">
      <c r="A921" s="22"/>
      <c r="B921" s="10"/>
      <c r="E921" s="10"/>
      <c r="F921" s="25">
        <v>0.0</v>
      </c>
      <c r="G921" s="29"/>
      <c r="H921" s="27">
        <v>0.0</v>
      </c>
      <c r="I921" s="27">
        <v>0.0</v>
      </c>
      <c r="J921" s="10"/>
    </row>
    <row r="922">
      <c r="A922" s="22"/>
      <c r="B922" s="10"/>
      <c r="E922" s="10"/>
      <c r="F922" s="25">
        <v>0.0</v>
      </c>
      <c r="G922" s="29"/>
      <c r="H922" s="27">
        <v>0.0</v>
      </c>
      <c r="I922" s="27">
        <v>0.0</v>
      </c>
      <c r="J922" s="10"/>
    </row>
    <row r="923">
      <c r="A923" s="22"/>
      <c r="B923" s="10"/>
      <c r="E923" s="10"/>
      <c r="F923" s="25">
        <v>0.0</v>
      </c>
      <c r="G923" s="29"/>
      <c r="H923" s="27">
        <v>0.0</v>
      </c>
      <c r="I923" s="27">
        <v>0.0</v>
      </c>
      <c r="J923" s="10"/>
    </row>
    <row r="924">
      <c r="A924" s="22"/>
      <c r="B924" s="10"/>
      <c r="E924" s="10"/>
      <c r="F924" s="25">
        <v>0.0</v>
      </c>
      <c r="G924" s="29"/>
      <c r="H924" s="27">
        <v>0.0</v>
      </c>
      <c r="I924" s="27">
        <v>0.0</v>
      </c>
      <c r="J924" s="10"/>
    </row>
    <row r="925">
      <c r="A925" s="22"/>
      <c r="B925" s="10"/>
      <c r="E925" s="10"/>
      <c r="F925" s="25">
        <v>0.0</v>
      </c>
      <c r="G925" s="29"/>
      <c r="H925" s="27">
        <v>0.0</v>
      </c>
      <c r="I925" s="27">
        <v>0.0</v>
      </c>
      <c r="J925" s="10"/>
    </row>
    <row r="926">
      <c r="A926" s="22"/>
      <c r="B926" s="10"/>
      <c r="E926" s="10"/>
      <c r="F926" s="25">
        <v>0.0</v>
      </c>
      <c r="G926" s="29"/>
      <c r="H926" s="27">
        <v>0.0</v>
      </c>
      <c r="I926" s="27">
        <v>0.0</v>
      </c>
      <c r="J926" s="10"/>
    </row>
    <row r="927">
      <c r="A927" s="22"/>
      <c r="B927" s="10"/>
      <c r="E927" s="10"/>
      <c r="F927" s="25">
        <v>0.0</v>
      </c>
      <c r="G927" s="29"/>
      <c r="H927" s="27">
        <v>0.0</v>
      </c>
      <c r="I927" s="27">
        <v>0.0</v>
      </c>
      <c r="J927" s="10"/>
    </row>
    <row r="928">
      <c r="A928" s="22"/>
      <c r="B928" s="10"/>
      <c r="E928" s="10"/>
      <c r="F928" s="25">
        <v>0.0</v>
      </c>
      <c r="G928" s="29"/>
      <c r="H928" s="27">
        <v>0.0</v>
      </c>
      <c r="I928" s="27">
        <v>0.0</v>
      </c>
      <c r="J928" s="10"/>
    </row>
    <row r="929">
      <c r="A929" s="22"/>
      <c r="B929" s="10"/>
      <c r="E929" s="10"/>
      <c r="F929" s="25">
        <v>0.0</v>
      </c>
      <c r="G929" s="29"/>
      <c r="H929" s="27">
        <v>0.0</v>
      </c>
      <c r="I929" s="27">
        <v>0.0</v>
      </c>
      <c r="J929" s="10"/>
    </row>
    <row r="930">
      <c r="A930" s="22"/>
      <c r="B930" s="10"/>
      <c r="E930" s="10"/>
      <c r="F930" s="25">
        <v>0.0</v>
      </c>
      <c r="G930" s="29"/>
      <c r="H930" s="27">
        <v>0.0</v>
      </c>
      <c r="I930" s="27">
        <v>0.0</v>
      </c>
      <c r="J930" s="10"/>
    </row>
    <row r="931">
      <c r="A931" s="22"/>
      <c r="B931" s="10"/>
      <c r="E931" s="10"/>
      <c r="F931" s="25">
        <v>0.0</v>
      </c>
      <c r="G931" s="29"/>
      <c r="H931" s="27">
        <v>0.0</v>
      </c>
      <c r="I931" s="27">
        <v>0.0</v>
      </c>
      <c r="J931" s="10"/>
    </row>
    <row r="932">
      <c r="A932" s="22"/>
      <c r="B932" s="10"/>
      <c r="E932" s="10"/>
      <c r="F932" s="25">
        <v>0.0</v>
      </c>
      <c r="G932" s="29"/>
      <c r="H932" s="27">
        <v>0.0</v>
      </c>
      <c r="I932" s="27">
        <v>0.0</v>
      </c>
      <c r="J932" s="10"/>
    </row>
    <row r="933">
      <c r="A933" s="22"/>
      <c r="B933" s="10"/>
      <c r="E933" s="10"/>
      <c r="F933" s="25">
        <v>0.0</v>
      </c>
      <c r="G933" s="29"/>
      <c r="H933" s="27">
        <v>0.0</v>
      </c>
      <c r="I933" s="27">
        <v>0.0</v>
      </c>
      <c r="J933" s="10"/>
    </row>
    <row r="934">
      <c r="A934" s="22"/>
      <c r="B934" s="10"/>
      <c r="E934" s="10"/>
      <c r="F934" s="25">
        <v>0.0</v>
      </c>
      <c r="G934" s="29"/>
      <c r="H934" s="27">
        <v>0.0</v>
      </c>
      <c r="I934" s="27">
        <v>0.0</v>
      </c>
      <c r="J934" s="10"/>
    </row>
    <row r="935">
      <c r="A935" s="22"/>
      <c r="B935" s="10"/>
      <c r="E935" s="10"/>
      <c r="F935" s="25">
        <v>0.0</v>
      </c>
      <c r="G935" s="29"/>
      <c r="H935" s="27">
        <v>0.0</v>
      </c>
      <c r="I935" s="27">
        <v>0.0</v>
      </c>
      <c r="J935" s="10"/>
    </row>
    <row r="936">
      <c r="A936" s="22"/>
      <c r="B936" s="10"/>
      <c r="E936" s="10"/>
      <c r="F936" s="25">
        <v>0.0</v>
      </c>
      <c r="G936" s="29"/>
      <c r="H936" s="27">
        <v>0.0</v>
      </c>
      <c r="I936" s="27">
        <v>0.0</v>
      </c>
      <c r="J936" s="10"/>
    </row>
    <row r="937">
      <c r="A937" s="22"/>
      <c r="B937" s="10"/>
      <c r="E937" s="10"/>
      <c r="F937" s="25">
        <v>0.0</v>
      </c>
      <c r="G937" s="29"/>
      <c r="H937" s="27">
        <v>0.0</v>
      </c>
      <c r="I937" s="27">
        <v>0.0</v>
      </c>
      <c r="J937" s="10"/>
    </row>
    <row r="938">
      <c r="A938" s="22"/>
      <c r="B938" s="10"/>
      <c r="E938" s="10"/>
      <c r="F938" s="25">
        <v>0.0</v>
      </c>
      <c r="G938" s="29"/>
      <c r="H938" s="27">
        <v>0.0</v>
      </c>
      <c r="I938" s="27">
        <v>0.0</v>
      </c>
      <c r="J938" s="10"/>
    </row>
    <row r="939">
      <c r="A939" s="22"/>
      <c r="B939" s="10"/>
      <c r="E939" s="10"/>
      <c r="F939" s="25">
        <v>0.0</v>
      </c>
      <c r="G939" s="29"/>
      <c r="H939" s="27">
        <v>0.0</v>
      </c>
      <c r="I939" s="27">
        <v>0.0</v>
      </c>
      <c r="J939" s="10"/>
    </row>
    <row r="940">
      <c r="A940" s="22"/>
      <c r="B940" s="10"/>
      <c r="E940" s="10"/>
      <c r="F940" s="25">
        <v>0.0</v>
      </c>
      <c r="G940" s="29"/>
      <c r="H940" s="27">
        <v>0.0</v>
      </c>
      <c r="I940" s="27">
        <v>0.0</v>
      </c>
      <c r="J940" s="10"/>
    </row>
    <row r="941">
      <c r="A941" s="22"/>
      <c r="B941" s="10"/>
      <c r="E941" s="10"/>
      <c r="F941" s="25">
        <v>0.0</v>
      </c>
      <c r="G941" s="29"/>
      <c r="H941" s="27">
        <v>0.0</v>
      </c>
      <c r="I941" s="27">
        <v>0.0</v>
      </c>
      <c r="J941" s="10"/>
    </row>
    <row r="942">
      <c r="A942" s="22"/>
      <c r="B942" s="10"/>
      <c r="E942" s="10"/>
      <c r="F942" s="25">
        <v>0.0</v>
      </c>
      <c r="G942" s="29"/>
      <c r="H942" s="27">
        <v>0.0</v>
      </c>
      <c r="I942" s="27">
        <v>0.0</v>
      </c>
      <c r="J942" s="10"/>
    </row>
    <row r="943">
      <c r="A943" s="22"/>
      <c r="B943" s="10"/>
      <c r="E943" s="10"/>
      <c r="F943" s="25">
        <v>0.0</v>
      </c>
      <c r="G943" s="29"/>
      <c r="H943" s="27">
        <v>0.0</v>
      </c>
      <c r="I943" s="27">
        <v>0.0</v>
      </c>
      <c r="J943" s="10"/>
    </row>
    <row r="944">
      <c r="A944" s="22"/>
      <c r="B944" s="10"/>
      <c r="E944" s="10"/>
      <c r="F944" s="25">
        <v>0.0</v>
      </c>
      <c r="G944" s="29"/>
      <c r="H944" s="27">
        <v>0.0</v>
      </c>
      <c r="I944" s="27">
        <v>0.0</v>
      </c>
      <c r="J944" s="10"/>
    </row>
    <row r="945">
      <c r="A945" s="22"/>
      <c r="B945" s="10"/>
      <c r="E945" s="10"/>
      <c r="F945" s="25">
        <v>0.0</v>
      </c>
      <c r="G945" s="29"/>
      <c r="H945" s="27">
        <v>0.0</v>
      </c>
      <c r="I945" s="27">
        <v>0.0</v>
      </c>
      <c r="J945" s="10"/>
    </row>
    <row r="946">
      <c r="A946" s="22"/>
      <c r="B946" s="10"/>
      <c r="E946" s="10"/>
      <c r="F946" s="25">
        <v>0.0</v>
      </c>
      <c r="G946" s="29"/>
      <c r="H946" s="27">
        <v>0.0</v>
      </c>
      <c r="I946" s="27">
        <v>0.0</v>
      </c>
      <c r="J946" s="10"/>
    </row>
    <row r="947">
      <c r="A947" s="22"/>
      <c r="B947" s="10"/>
      <c r="E947" s="10"/>
      <c r="F947" s="25">
        <v>0.0</v>
      </c>
      <c r="G947" s="29"/>
      <c r="H947" s="27">
        <v>0.0</v>
      </c>
      <c r="I947" s="27">
        <v>0.0</v>
      </c>
      <c r="J947" s="10"/>
    </row>
    <row r="948">
      <c r="A948" s="22"/>
      <c r="B948" s="10"/>
      <c r="E948" s="10"/>
      <c r="F948" s="25">
        <v>0.0</v>
      </c>
      <c r="G948" s="29"/>
      <c r="H948" s="27">
        <v>0.0</v>
      </c>
      <c r="I948" s="27">
        <v>0.0</v>
      </c>
      <c r="J948" s="10"/>
    </row>
    <row r="949">
      <c r="A949" s="22"/>
      <c r="B949" s="10"/>
      <c r="E949" s="10"/>
      <c r="F949" s="25">
        <v>0.0</v>
      </c>
      <c r="G949" s="29"/>
      <c r="H949" s="27">
        <v>0.0</v>
      </c>
      <c r="I949" s="27">
        <v>0.0</v>
      </c>
      <c r="J949" s="10"/>
    </row>
    <row r="950">
      <c r="A950" s="22"/>
      <c r="B950" s="10"/>
      <c r="E950" s="10"/>
      <c r="F950" s="25">
        <v>0.0</v>
      </c>
      <c r="G950" s="29"/>
      <c r="H950" s="27">
        <v>0.0</v>
      </c>
      <c r="I950" s="27">
        <v>0.0</v>
      </c>
      <c r="J950" s="10"/>
    </row>
    <row r="951">
      <c r="A951" s="22"/>
      <c r="B951" s="10"/>
      <c r="E951" s="10"/>
      <c r="F951" s="25">
        <v>0.0</v>
      </c>
      <c r="G951" s="29"/>
      <c r="H951" s="27">
        <v>0.0</v>
      </c>
      <c r="I951" s="27">
        <v>0.0</v>
      </c>
      <c r="J951" s="10"/>
    </row>
    <row r="952">
      <c r="A952" s="22"/>
      <c r="B952" s="10"/>
      <c r="E952" s="10"/>
      <c r="F952" s="25">
        <v>0.0</v>
      </c>
      <c r="G952" s="29"/>
      <c r="H952" s="27">
        <v>0.0</v>
      </c>
      <c r="I952" s="27">
        <v>0.0</v>
      </c>
      <c r="J952" s="10"/>
    </row>
    <row r="953">
      <c r="A953" s="22"/>
      <c r="B953" s="10"/>
      <c r="E953" s="10"/>
      <c r="F953" s="25">
        <v>0.0</v>
      </c>
      <c r="G953" s="29"/>
      <c r="H953" s="27">
        <v>0.0</v>
      </c>
      <c r="I953" s="27">
        <v>0.0</v>
      </c>
      <c r="J953" s="10"/>
    </row>
    <row r="954">
      <c r="A954" s="22"/>
      <c r="B954" s="10"/>
      <c r="E954" s="10"/>
      <c r="F954" s="25">
        <v>0.0</v>
      </c>
      <c r="G954" s="29"/>
      <c r="H954" s="27">
        <v>0.0</v>
      </c>
      <c r="I954" s="27">
        <v>0.0</v>
      </c>
      <c r="J954" s="10"/>
    </row>
    <row r="955">
      <c r="A955" s="22"/>
      <c r="B955" s="10"/>
      <c r="E955" s="10"/>
      <c r="F955" s="25">
        <v>0.0</v>
      </c>
      <c r="G955" s="29"/>
      <c r="H955" s="27">
        <v>0.0</v>
      </c>
      <c r="I955" s="27">
        <v>0.0</v>
      </c>
      <c r="J955" s="10"/>
    </row>
    <row r="956">
      <c r="A956" s="22"/>
      <c r="B956" s="10"/>
      <c r="E956" s="10"/>
      <c r="F956" s="25">
        <v>0.0</v>
      </c>
      <c r="G956" s="29"/>
      <c r="H956" s="27">
        <v>0.0</v>
      </c>
      <c r="I956" s="27">
        <v>0.0</v>
      </c>
      <c r="J956" s="10"/>
    </row>
    <row r="957">
      <c r="A957" s="22"/>
      <c r="B957" s="10"/>
      <c r="E957" s="10"/>
      <c r="F957" s="25">
        <v>0.0</v>
      </c>
      <c r="G957" s="29"/>
      <c r="H957" s="27">
        <v>0.0</v>
      </c>
      <c r="I957" s="27">
        <v>0.0</v>
      </c>
      <c r="J957" s="10"/>
    </row>
    <row r="958">
      <c r="A958" s="22"/>
      <c r="B958" s="10"/>
      <c r="E958" s="10"/>
      <c r="F958" s="25">
        <v>0.0</v>
      </c>
      <c r="G958" s="29"/>
      <c r="H958" s="27">
        <v>0.0</v>
      </c>
      <c r="I958" s="27">
        <v>0.0</v>
      </c>
      <c r="J958" s="10"/>
    </row>
    <row r="959">
      <c r="A959" s="22"/>
      <c r="B959" s="10"/>
      <c r="E959" s="10"/>
      <c r="F959" s="25">
        <v>0.0</v>
      </c>
      <c r="G959" s="29"/>
      <c r="H959" s="27">
        <v>0.0</v>
      </c>
      <c r="I959" s="27">
        <v>0.0</v>
      </c>
      <c r="J959" s="10"/>
    </row>
    <row r="960">
      <c r="A960" s="22"/>
      <c r="B960" s="10"/>
      <c r="E960" s="10"/>
      <c r="F960" s="25">
        <v>0.0</v>
      </c>
      <c r="G960" s="29"/>
      <c r="H960" s="27">
        <v>0.0</v>
      </c>
      <c r="I960" s="27">
        <v>0.0</v>
      </c>
      <c r="J960" s="10"/>
    </row>
    <row r="961">
      <c r="A961" s="22"/>
      <c r="B961" s="10"/>
      <c r="E961" s="10"/>
      <c r="F961" s="25">
        <v>0.0</v>
      </c>
      <c r="G961" s="29"/>
      <c r="H961" s="27">
        <v>0.0</v>
      </c>
      <c r="I961" s="27">
        <v>0.0</v>
      </c>
      <c r="J961" s="10"/>
    </row>
    <row r="962">
      <c r="A962" s="22"/>
      <c r="B962" s="10"/>
      <c r="E962" s="10"/>
      <c r="F962" s="25">
        <v>0.0</v>
      </c>
      <c r="G962" s="29"/>
      <c r="H962" s="27">
        <v>0.0</v>
      </c>
      <c r="I962" s="27">
        <v>0.0</v>
      </c>
      <c r="J962" s="10"/>
    </row>
    <row r="963">
      <c r="A963" s="22"/>
      <c r="B963" s="10"/>
      <c r="E963" s="10"/>
      <c r="F963" s="25">
        <v>0.0</v>
      </c>
      <c r="G963" s="29"/>
      <c r="H963" s="27">
        <v>0.0</v>
      </c>
      <c r="I963" s="27">
        <v>0.0</v>
      </c>
      <c r="J963" s="10"/>
    </row>
    <row r="964">
      <c r="A964" s="22"/>
      <c r="B964" s="10"/>
      <c r="E964" s="10"/>
      <c r="F964" s="25">
        <v>0.0</v>
      </c>
      <c r="G964" s="29"/>
      <c r="H964" s="27">
        <v>0.0</v>
      </c>
      <c r="I964" s="27">
        <v>0.0</v>
      </c>
      <c r="J964" s="10"/>
    </row>
    <row r="965">
      <c r="A965" s="22"/>
      <c r="B965" s="10"/>
      <c r="E965" s="10"/>
      <c r="F965" s="25">
        <v>0.0</v>
      </c>
      <c r="G965" s="29"/>
      <c r="H965" s="27">
        <v>0.0</v>
      </c>
      <c r="I965" s="27">
        <v>0.0</v>
      </c>
      <c r="J965" s="10"/>
    </row>
    <row r="966">
      <c r="A966" s="22"/>
      <c r="B966" s="10"/>
      <c r="E966" s="10"/>
      <c r="F966" s="25">
        <v>0.0</v>
      </c>
      <c r="G966" s="29"/>
      <c r="H966" s="27">
        <v>0.0</v>
      </c>
      <c r="I966" s="27">
        <v>0.0</v>
      </c>
      <c r="J966" s="10"/>
    </row>
    <row r="967">
      <c r="A967" s="22"/>
      <c r="B967" s="10"/>
      <c r="E967" s="10"/>
      <c r="F967" s="25">
        <v>0.0</v>
      </c>
      <c r="G967" s="29"/>
      <c r="H967" s="27">
        <v>0.0</v>
      </c>
      <c r="I967" s="27">
        <v>0.0</v>
      </c>
      <c r="J967" s="10"/>
    </row>
    <row r="968">
      <c r="A968" s="22"/>
      <c r="B968" s="10"/>
      <c r="E968" s="10"/>
      <c r="F968" s="25">
        <v>0.0</v>
      </c>
      <c r="G968" s="29"/>
      <c r="H968" s="27">
        <v>0.0</v>
      </c>
      <c r="I968" s="27">
        <v>0.0</v>
      </c>
      <c r="J968" s="10"/>
    </row>
    <row r="969">
      <c r="A969" s="22"/>
      <c r="B969" s="10"/>
      <c r="E969" s="10"/>
      <c r="F969" s="25">
        <v>0.0</v>
      </c>
      <c r="G969" s="29"/>
      <c r="H969" s="27">
        <v>0.0</v>
      </c>
      <c r="I969" s="27">
        <v>0.0</v>
      </c>
      <c r="J969" s="10"/>
    </row>
    <row r="970">
      <c r="A970" s="22"/>
      <c r="B970" s="10"/>
      <c r="E970" s="10"/>
      <c r="F970" s="25">
        <v>0.0</v>
      </c>
      <c r="G970" s="29"/>
      <c r="H970" s="27">
        <v>0.0</v>
      </c>
      <c r="I970" s="27">
        <v>0.0</v>
      </c>
      <c r="J970" s="10"/>
    </row>
    <row r="971">
      <c r="A971" s="22"/>
      <c r="B971" s="10"/>
      <c r="E971" s="10"/>
      <c r="F971" s="25">
        <v>0.0</v>
      </c>
      <c r="G971" s="29"/>
      <c r="H971" s="27">
        <v>0.0</v>
      </c>
      <c r="I971" s="27">
        <v>0.0</v>
      </c>
      <c r="J971" s="10"/>
    </row>
    <row r="972">
      <c r="A972" s="22"/>
      <c r="B972" s="10"/>
      <c r="E972" s="10"/>
      <c r="F972" s="25">
        <v>0.0</v>
      </c>
      <c r="G972" s="29"/>
      <c r="H972" s="27">
        <v>0.0</v>
      </c>
      <c r="I972" s="27">
        <v>0.0</v>
      </c>
      <c r="J972" s="10"/>
    </row>
    <row r="973">
      <c r="A973" s="22"/>
      <c r="B973" s="10"/>
      <c r="E973" s="10"/>
      <c r="F973" s="25">
        <v>0.0</v>
      </c>
      <c r="G973" s="29"/>
      <c r="H973" s="27">
        <v>0.0</v>
      </c>
      <c r="I973" s="27">
        <v>0.0</v>
      </c>
      <c r="J973" s="10"/>
    </row>
    <row r="974">
      <c r="A974" s="22"/>
      <c r="B974" s="10"/>
      <c r="E974" s="10"/>
      <c r="F974" s="25">
        <v>0.0</v>
      </c>
      <c r="G974" s="29"/>
      <c r="H974" s="27">
        <v>0.0</v>
      </c>
      <c r="I974" s="27">
        <v>0.0</v>
      </c>
      <c r="J974" s="10"/>
    </row>
    <row r="975">
      <c r="A975" s="22"/>
      <c r="B975" s="10"/>
      <c r="E975" s="10"/>
      <c r="F975" s="25">
        <v>0.0</v>
      </c>
      <c r="G975" s="29"/>
      <c r="H975" s="27">
        <v>0.0</v>
      </c>
      <c r="I975" s="27">
        <v>0.0</v>
      </c>
      <c r="J975" s="10"/>
    </row>
    <row r="976">
      <c r="A976" s="22"/>
      <c r="B976" s="10"/>
      <c r="E976" s="10"/>
      <c r="F976" s="25">
        <v>0.0</v>
      </c>
      <c r="G976" s="29"/>
      <c r="H976" s="27">
        <v>0.0</v>
      </c>
      <c r="I976" s="27">
        <v>0.0</v>
      </c>
      <c r="J976" s="10"/>
    </row>
    <row r="977">
      <c r="A977" s="22"/>
      <c r="B977" s="10"/>
      <c r="E977" s="10"/>
      <c r="F977" s="25">
        <v>0.0</v>
      </c>
      <c r="G977" s="29"/>
      <c r="H977" s="27">
        <v>0.0</v>
      </c>
      <c r="I977" s="27">
        <v>0.0</v>
      </c>
      <c r="J977" s="10"/>
    </row>
    <row r="978">
      <c r="A978" s="22"/>
      <c r="B978" s="10"/>
      <c r="E978" s="10"/>
      <c r="F978" s="25">
        <v>0.0</v>
      </c>
      <c r="G978" s="29"/>
      <c r="H978" s="27">
        <v>0.0</v>
      </c>
      <c r="I978" s="27">
        <v>0.0</v>
      </c>
      <c r="J978" s="10"/>
    </row>
    <row r="979">
      <c r="A979" s="22"/>
      <c r="B979" s="10"/>
      <c r="E979" s="10"/>
      <c r="F979" s="25">
        <v>0.0</v>
      </c>
      <c r="G979" s="29"/>
      <c r="H979" s="27">
        <v>0.0</v>
      </c>
      <c r="I979" s="27">
        <v>0.0</v>
      </c>
      <c r="J979" s="10"/>
    </row>
    <row r="980">
      <c r="A980" s="22"/>
      <c r="B980" s="10"/>
      <c r="E980" s="10"/>
      <c r="F980" s="25">
        <v>0.0</v>
      </c>
      <c r="G980" s="29"/>
      <c r="H980" s="27">
        <v>0.0</v>
      </c>
      <c r="I980" s="27">
        <v>0.0</v>
      </c>
      <c r="J980" s="10"/>
    </row>
    <row r="981">
      <c r="A981" s="22"/>
      <c r="B981" s="10"/>
      <c r="E981" s="10"/>
      <c r="F981" s="25">
        <v>0.0</v>
      </c>
      <c r="G981" s="29"/>
      <c r="H981" s="27">
        <v>0.0</v>
      </c>
      <c r="I981" s="27">
        <v>0.0</v>
      </c>
      <c r="J981" s="10"/>
    </row>
    <row r="982">
      <c r="A982" s="22"/>
      <c r="B982" s="10"/>
      <c r="E982" s="10"/>
      <c r="F982" s="25">
        <v>0.0</v>
      </c>
      <c r="G982" s="29"/>
      <c r="H982" s="27">
        <v>0.0</v>
      </c>
      <c r="I982" s="27">
        <v>0.0</v>
      </c>
      <c r="J982" s="10"/>
    </row>
    <row r="983">
      <c r="A983" s="22"/>
      <c r="B983" s="10"/>
      <c r="E983" s="10"/>
      <c r="F983" s="25">
        <v>0.0</v>
      </c>
      <c r="G983" s="29"/>
      <c r="H983" s="27">
        <v>0.0</v>
      </c>
      <c r="I983" s="27">
        <v>0.0</v>
      </c>
      <c r="J983" s="10"/>
    </row>
    <row r="984">
      <c r="A984" s="22"/>
      <c r="B984" s="10"/>
      <c r="E984" s="10"/>
      <c r="F984" s="25">
        <v>0.0</v>
      </c>
      <c r="G984" s="29"/>
      <c r="H984" s="27">
        <v>0.0</v>
      </c>
      <c r="I984" s="27">
        <v>0.0</v>
      </c>
      <c r="J984" s="10"/>
    </row>
    <row r="985">
      <c r="A985" s="22"/>
      <c r="B985" s="10"/>
      <c r="E985" s="10"/>
      <c r="F985" s="25">
        <v>0.0</v>
      </c>
      <c r="G985" s="29"/>
      <c r="H985" s="27">
        <v>0.0</v>
      </c>
      <c r="I985" s="27">
        <v>0.0</v>
      </c>
      <c r="J985" s="10"/>
    </row>
    <row r="986">
      <c r="A986" s="22"/>
      <c r="B986" s="10"/>
      <c r="E986" s="10"/>
      <c r="F986" s="25">
        <v>0.0</v>
      </c>
      <c r="G986" s="29"/>
      <c r="H986" s="27">
        <v>0.0</v>
      </c>
      <c r="I986" s="27">
        <v>0.0</v>
      </c>
      <c r="J986" s="10"/>
    </row>
    <row r="987">
      <c r="A987" s="22"/>
      <c r="B987" s="10"/>
      <c r="E987" s="10"/>
      <c r="F987" s="25">
        <v>0.0</v>
      </c>
      <c r="G987" s="29"/>
      <c r="H987" s="27">
        <v>0.0</v>
      </c>
      <c r="I987" s="27">
        <v>0.0</v>
      </c>
      <c r="J987" s="10"/>
    </row>
    <row r="988">
      <c r="A988" s="22"/>
      <c r="B988" s="10"/>
      <c r="E988" s="10"/>
      <c r="F988" s="25">
        <v>0.0</v>
      </c>
      <c r="G988" s="29"/>
      <c r="H988" s="27">
        <v>0.0</v>
      </c>
      <c r="I988" s="27">
        <v>0.0</v>
      </c>
      <c r="J988" s="10"/>
    </row>
    <row r="989">
      <c r="A989" s="22"/>
      <c r="B989" s="10"/>
      <c r="E989" s="10"/>
      <c r="F989" s="25">
        <v>0.0</v>
      </c>
      <c r="G989" s="29"/>
      <c r="H989" s="27">
        <v>0.0</v>
      </c>
      <c r="I989" s="27">
        <v>0.0</v>
      </c>
      <c r="J989" s="10"/>
    </row>
    <row r="990">
      <c r="A990" s="22"/>
      <c r="B990" s="10"/>
      <c r="E990" s="10"/>
      <c r="F990" s="25">
        <v>0.0</v>
      </c>
      <c r="G990" s="29"/>
      <c r="H990" s="27">
        <v>0.0</v>
      </c>
      <c r="I990" s="27">
        <v>0.0</v>
      </c>
      <c r="J990" s="10"/>
    </row>
    <row r="991">
      <c r="A991" s="22"/>
      <c r="B991" s="10"/>
      <c r="E991" s="10"/>
      <c r="F991" s="25">
        <v>0.0</v>
      </c>
      <c r="G991" s="29"/>
      <c r="H991" s="27">
        <v>0.0</v>
      </c>
      <c r="I991" s="27">
        <v>0.0</v>
      </c>
      <c r="J991" s="10"/>
    </row>
    <row r="992">
      <c r="A992" s="22"/>
      <c r="B992" s="10"/>
      <c r="E992" s="10"/>
      <c r="F992" s="25">
        <v>0.0</v>
      </c>
      <c r="G992" s="29"/>
      <c r="H992" s="27">
        <v>0.0</v>
      </c>
      <c r="I992" s="27">
        <v>0.0</v>
      </c>
      <c r="J992" s="10"/>
    </row>
    <row r="993">
      <c r="A993" s="22"/>
      <c r="B993" s="10"/>
      <c r="E993" s="10"/>
      <c r="F993" s="25">
        <v>0.0</v>
      </c>
      <c r="G993" s="29"/>
      <c r="H993" s="27">
        <v>0.0</v>
      </c>
      <c r="I993" s="27">
        <v>0.0</v>
      </c>
      <c r="J993" s="10"/>
    </row>
    <row r="994">
      <c r="A994" s="22"/>
      <c r="B994" s="10"/>
      <c r="E994" s="10"/>
      <c r="F994" s="25">
        <v>0.0</v>
      </c>
      <c r="G994" s="29"/>
      <c r="H994" s="27">
        <v>0.0</v>
      </c>
      <c r="I994" s="27">
        <v>0.0</v>
      </c>
      <c r="J994" s="10"/>
    </row>
    <row r="995">
      <c r="A995" s="22"/>
      <c r="B995" s="10"/>
      <c r="E995" s="10"/>
      <c r="F995" s="25">
        <v>0.0</v>
      </c>
      <c r="G995" s="29"/>
      <c r="H995" s="27">
        <v>0.0</v>
      </c>
      <c r="I995" s="27">
        <v>0.0</v>
      </c>
      <c r="J995" s="10"/>
    </row>
    <row r="996">
      <c r="A996" s="22"/>
      <c r="B996" s="10"/>
      <c r="E996" s="10"/>
      <c r="F996" s="25">
        <v>0.0</v>
      </c>
      <c r="G996" s="29"/>
      <c r="H996" s="27">
        <v>0.0</v>
      </c>
      <c r="I996" s="27">
        <v>0.0</v>
      </c>
      <c r="J996" s="10"/>
    </row>
    <row r="997">
      <c r="A997" s="22"/>
      <c r="B997" s="10"/>
      <c r="E997" s="10"/>
      <c r="F997" s="25">
        <v>0.0</v>
      </c>
      <c r="G997" s="29"/>
      <c r="H997" s="27">
        <v>0.0</v>
      </c>
      <c r="I997" s="27">
        <v>0.0</v>
      </c>
      <c r="J997" s="10"/>
    </row>
    <row r="998">
      <c r="A998" s="22"/>
      <c r="B998" s="10"/>
      <c r="E998" s="10"/>
      <c r="F998" s="25">
        <v>0.0</v>
      </c>
      <c r="G998" s="29"/>
      <c r="H998" s="27">
        <v>0.0</v>
      </c>
      <c r="I998" s="27">
        <v>0.0</v>
      </c>
      <c r="J998" s="10"/>
    </row>
    <row r="999">
      <c r="A999" s="22"/>
      <c r="B999" s="10"/>
      <c r="E999" s="10"/>
      <c r="F999" s="25">
        <v>0.0</v>
      </c>
      <c r="G999" s="29"/>
      <c r="H999" s="27">
        <v>0.0</v>
      </c>
      <c r="I999" s="27">
        <v>0.0</v>
      </c>
      <c r="J999" s="10"/>
    </row>
    <row r="1000">
      <c r="A1000" s="22"/>
      <c r="B1000" s="10"/>
      <c r="E1000" s="10"/>
      <c r="F1000" s="25">
        <v>0.0</v>
      </c>
      <c r="G1000" s="29"/>
      <c r="H1000" s="27">
        <v>0.0</v>
      </c>
      <c r="I1000" s="27">
        <v>0.0</v>
      </c>
      <c r="J1000" s="10"/>
    </row>
    <row r="1001">
      <c r="A1001" s="22"/>
      <c r="B1001" s="10"/>
      <c r="E1001" s="10"/>
      <c r="F1001" s="25">
        <v>0.0</v>
      </c>
      <c r="G1001" s="29"/>
      <c r="H1001" s="27">
        <v>0.0</v>
      </c>
      <c r="I1001" s="27">
        <v>0.0</v>
      </c>
      <c r="J1001" s="10"/>
    </row>
  </sheetData>
  <dataValidations>
    <dataValidation type="custom" allowBlank="1" showDropDown="1" showInputMessage="1" showErrorMessage="1" prompt="Please enter a valid date or select from the calendar." sqref="A2:A1001">
      <formula1>OR(NOT(ISERROR(DATEVALUE(A2))), AND(ISNUMBER(A2), LEFT(CELL("format", A2))="D"))</formula1>
    </dataValidation>
    <dataValidation type="list" allowBlank="1" sqref="J2:J1001">
      <formula1>Settings!$B$2:$B$30</formula1>
    </dataValidation>
    <dataValidation type="list" allowBlank="1" showInputMessage="1" showErrorMessage="1" prompt="Please select a Project ID from the list." sqref="B2:B1001">
      <formula1>'Project Master'!$A$2:$A$100</formula1>
    </dataValidation>
    <dataValidation type="list" allowBlank="1" showErrorMessage="1" sqref="E2:E1001">
      <formula1>Settings!$H$2:$H$20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8C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63"/>
    <col customWidth="1" min="3" max="3" width="17.38"/>
    <col customWidth="1" min="4" max="4" width="14.38"/>
  </cols>
  <sheetData>
    <row r="1">
      <c r="A1" s="30" t="s">
        <v>80</v>
      </c>
      <c r="B1" s="30" t="s">
        <v>81</v>
      </c>
      <c r="C1" s="30" t="s">
        <v>82</v>
      </c>
      <c r="D1" s="30" t="s">
        <v>83</v>
      </c>
    </row>
    <row r="2">
      <c r="A2" s="31">
        <v>45772.0</v>
      </c>
      <c r="B2" s="27">
        <f t="array" ref="B2">SUMIFS('Invoice Tracker'!$F$2:$F1000, TEXT('Invoice Tracker'!$A$2:$A1000,"MMM-yy"), A2:A13)</f>
        <v>0</v>
      </c>
      <c r="C2" s="27">
        <f t="array" ref="C2">SUMIFS(Expenses!$H$2:$H1000, TEXT(Expenses!$A$2:$A1000,"MMM-yy"), A2:A13)</f>
        <v>0</v>
      </c>
      <c r="D2" s="27">
        <f t="shared" ref="D2:D13" si="1">B2:B13 - C2:C13</f>
        <v>0</v>
      </c>
    </row>
    <row r="3">
      <c r="A3" s="31">
        <v>45802.0</v>
      </c>
      <c r="B3" s="27">
        <f t="array" ref="B3">SUMIFS('Invoice Tracker'!$F$2:$F1000, TEXT('Invoice Tracker'!$A$2:$A1000,"MMM-yy"), A3:A14)</f>
        <v>0</v>
      </c>
      <c r="C3" s="27">
        <f t="array" ref="C3">SUMIFS(Expenses!$H$2:$H1000, TEXT(Expenses!$A$2:$A1000,"MMM-yy"), A3:A14)</f>
        <v>0</v>
      </c>
      <c r="D3" s="27">
        <f t="shared" si="1"/>
        <v>0</v>
      </c>
    </row>
    <row r="4">
      <c r="A4" s="31">
        <v>45833.0</v>
      </c>
      <c r="B4" s="27">
        <f t="array" ref="B4">SUMIFS('Invoice Tracker'!$F$2:$F1000, TEXT('Invoice Tracker'!$A$2:$A1000,"MMM-yy"), A4:A15)</f>
        <v>0</v>
      </c>
      <c r="C4" s="27">
        <f t="array" ref="C4">SUMIFS(Expenses!$H$2:$H1000, TEXT(Expenses!$A$2:$A1000,"MMM-yy"), A4:A15)</f>
        <v>0</v>
      </c>
      <c r="D4" s="27">
        <f t="shared" si="1"/>
        <v>0</v>
      </c>
    </row>
    <row r="5">
      <c r="A5" s="31">
        <v>45863.0</v>
      </c>
      <c r="B5" s="27">
        <f t="array" ref="B5">SUMIFS('Invoice Tracker'!$F$2:$F1000, TEXT('Invoice Tracker'!$A$2:$A1000,"MMM-yy"), A5:A16)</f>
        <v>0</v>
      </c>
      <c r="C5" s="27">
        <f t="array" ref="C5">SUMIFS(Expenses!$H$2:$H1000, TEXT(Expenses!$A$2:$A1000,"MMM-yy"), A5:A16)</f>
        <v>0</v>
      </c>
      <c r="D5" s="27">
        <f t="shared" si="1"/>
        <v>0</v>
      </c>
    </row>
    <row r="6">
      <c r="A6" s="32">
        <v>45894.0</v>
      </c>
      <c r="B6" s="27">
        <f t="array" ref="B6">SUMIFS('Invoice Tracker'!$F$2:$F1000, TEXT('Invoice Tracker'!$A$2:$A1000,"MMM-yy"), A6:A17)</f>
        <v>0</v>
      </c>
      <c r="C6" s="27">
        <f t="array" ref="C6">SUMIFS(Expenses!$H$2:$H1000, TEXT(Expenses!$A$2:$A1000,"MMM-yy"), A6:A17)</f>
        <v>0</v>
      </c>
      <c r="D6" s="27">
        <f t="shared" si="1"/>
        <v>0</v>
      </c>
    </row>
    <row r="7">
      <c r="A7" s="31">
        <v>45925.0</v>
      </c>
      <c r="B7" s="27">
        <f t="array" ref="B7">SUMIFS('Invoice Tracker'!$F$2:$F1000, TEXT('Invoice Tracker'!$A$2:$A1000,"MMM-yy"), A7:A18)</f>
        <v>0</v>
      </c>
      <c r="C7" s="27">
        <f t="array" ref="C7">SUMIFS(Expenses!$H$2:$H1000, TEXT(Expenses!$A$2:$A1000,"MMM-yy"), A7:A18)</f>
        <v>0</v>
      </c>
      <c r="D7" s="27">
        <f t="shared" si="1"/>
        <v>0</v>
      </c>
    </row>
    <row r="8">
      <c r="A8" s="31">
        <v>45955.0</v>
      </c>
      <c r="B8" s="27">
        <f t="array" ref="B8">SUMIFS('Invoice Tracker'!$F$2:$F1000, TEXT('Invoice Tracker'!$A$2:$A1000,"MMM-yy"), A8:A19)</f>
        <v>9523.81</v>
      </c>
      <c r="C8" s="27">
        <f t="array" ref="C8">SUMIFS(Expenses!$H$2:$H1000, TEXT(Expenses!$A$2:$A1000,"MMM-yy"), A8:A19)</f>
        <v>6982.570952</v>
      </c>
      <c r="D8" s="27">
        <f t="shared" si="1"/>
        <v>2541.239048</v>
      </c>
    </row>
    <row r="9">
      <c r="A9" s="31">
        <v>45986.0</v>
      </c>
      <c r="B9" s="27">
        <f t="array" ref="B9">SUMIFS('Invoice Tracker'!$F$2:$F1000, TEXT('Invoice Tracker'!$A$2:$A1000,"MMM-yy"), A9:A20)</f>
        <v>0</v>
      </c>
      <c r="C9" s="27">
        <f t="array" ref="C9">SUMIFS(Expenses!$H$2:$H1000, TEXT(Expenses!$A$2:$A1000,"MMM-yy"), A9:A20)</f>
        <v>0</v>
      </c>
      <c r="D9" s="27">
        <f t="shared" si="1"/>
        <v>0</v>
      </c>
    </row>
    <row r="10">
      <c r="A10" s="31">
        <v>46016.0</v>
      </c>
      <c r="B10" s="27">
        <f t="array" ref="B10">SUMIFS('Invoice Tracker'!$F$2:$F1000, TEXT('Invoice Tracker'!$A$2:$A1000,"MMM-yy"), A10:A21)</f>
        <v>0</v>
      </c>
      <c r="C10" s="27">
        <f t="array" ref="C10">SUMIFS(Expenses!$H$2:$H1000, TEXT(Expenses!$A$2:$A1000,"MMM-yy"), A10:A21)</f>
        <v>0</v>
      </c>
      <c r="D10" s="27">
        <f t="shared" si="1"/>
        <v>0</v>
      </c>
    </row>
    <row r="11">
      <c r="A11" s="31">
        <v>45683.0</v>
      </c>
      <c r="B11" s="27">
        <f t="array" ref="B11">SUMIFS('Invoice Tracker'!$F$2:$F1000, TEXT('Invoice Tracker'!$A$2:$A1000,"MMM-yy"), A11:A22)</f>
        <v>0</v>
      </c>
      <c r="C11" s="27">
        <f t="array" ref="C11">SUMIFS(Expenses!$H$2:$H1000, TEXT(Expenses!$A$2:$A1000,"MMM-yy"), A11:A22)</f>
        <v>0</v>
      </c>
      <c r="D11" s="27">
        <f t="shared" si="1"/>
        <v>0</v>
      </c>
    </row>
    <row r="12">
      <c r="A12" s="31">
        <v>45714.0</v>
      </c>
      <c r="B12" s="27">
        <f t="array" ref="B12">SUMIFS('Invoice Tracker'!$F$2:$F1000, TEXT('Invoice Tracker'!$A$2:$A1000,"MMM-yy"), A12:A23)</f>
        <v>0</v>
      </c>
      <c r="C12" s="27">
        <f t="array" ref="C12">SUMIFS(Expenses!$H$2:$H1000, TEXT(Expenses!$A$2:$A1000,"MMM-yy"), A12:A23)</f>
        <v>0</v>
      </c>
      <c r="D12" s="27">
        <f t="shared" si="1"/>
        <v>0</v>
      </c>
    </row>
    <row r="13">
      <c r="A13" s="31">
        <v>45742.0</v>
      </c>
      <c r="B13" s="27">
        <f t="array" ref="B13">SUMIFS('Invoice Tracker'!$F$2:$F1000, TEXT('Invoice Tracker'!$A$2:$A1000,"MMM-yy"), A13:A24)</f>
        <v>0</v>
      </c>
      <c r="C13" s="27">
        <f t="array" ref="C13">SUMIFS(Expenses!$H$2:$H1000, TEXT(Expenses!$A$2:$A1000,"MMM-yy"), A13:A24)</f>
        <v>0</v>
      </c>
      <c r="D13" s="27">
        <f t="shared" si="1"/>
        <v>0</v>
      </c>
    </row>
    <row r="14">
      <c r="A14" s="12" t="s">
        <v>84</v>
      </c>
      <c r="B14" s="33">
        <f t="shared" ref="B14:D14" si="2">SUM(B2:B13)</f>
        <v>9523.81</v>
      </c>
      <c r="C14" s="33">
        <f t="shared" si="2"/>
        <v>6982.570952</v>
      </c>
      <c r="D14" s="33">
        <f t="shared" si="2"/>
        <v>2541.239048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4444"/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34" t="s">
        <v>85</v>
      </c>
    </row>
    <row r="3">
      <c r="A3" s="14" t="s">
        <v>86</v>
      </c>
      <c r="B3" s="14" t="s">
        <v>87</v>
      </c>
      <c r="C3" s="14" t="s">
        <v>88</v>
      </c>
      <c r="D3" s="14" t="s">
        <v>89</v>
      </c>
    </row>
    <row r="4">
      <c r="A4" s="10" t="str">
        <f t="array" ref="A4:A7">UNIQUE(Settings!B2:B1000)</f>
        <v>Cash</v>
      </c>
      <c r="B4" s="8">
        <f>IF(A4:A10="", "", SUMIF(Income!G:G, A4:A10, Income!F:F))</f>
        <v>10000</v>
      </c>
      <c r="C4" s="8">
        <f>IF(A4:A10="", "", SUMIF(Expenses!J:J, A4:A10, Expenses!F:F))</f>
        <v>17900</v>
      </c>
      <c r="D4" s="8">
        <f t="shared" ref="D4:D10" si="1">B4:B10 - C4:C10</f>
        <v>-7900</v>
      </c>
    </row>
    <row r="5">
      <c r="A5" s="10" t="s">
        <v>52</v>
      </c>
      <c r="B5" s="8">
        <f>IF(A5:A11="", "", SUMIF(Income!G:G, A5:A11, Income!F:F))</f>
        <v>190000</v>
      </c>
      <c r="C5" s="8">
        <f>IF(A5:A11="", "", SUMIF(Expenses!J:J, A5:A11, Expenses!F:F))</f>
        <v>154187.29</v>
      </c>
      <c r="D5" s="8">
        <f t="shared" si="1"/>
        <v>35812.71</v>
      </c>
    </row>
    <row r="6">
      <c r="A6" s="10" t="s">
        <v>90</v>
      </c>
      <c r="B6" s="8">
        <f>IF(A6:A12="", "", SUMIF(Income!G:G, A6:A12, Income!F:F))</f>
        <v>0</v>
      </c>
      <c r="C6" s="8">
        <f>IF(A6:A12="", "", SUMIF(Expenses!J:J, A6:A12, Expenses!F:F))</f>
        <v>0</v>
      </c>
      <c r="D6" s="8">
        <f t="shared" si="1"/>
        <v>0</v>
      </c>
    </row>
    <row r="7">
      <c r="A7" s="10"/>
      <c r="B7" s="8" t="str">
        <f>IF(A7:A13="", "", SUMIF(Income!G:G, A7:A13, Income!F:F))</f>
        <v/>
      </c>
      <c r="C7" s="8" t="str">
        <f>IF(A7:A13="", "", SUMIF(Expenses!J:J, A7:A13, Expenses!F:F))</f>
        <v/>
      </c>
      <c r="D7" s="8">
        <f t="shared" si="1"/>
        <v>0</v>
      </c>
    </row>
    <row r="8">
      <c r="B8" s="8" t="str">
        <f>IF(A8:A14="", "", SUMIF(Income!G:G, A8:A14, Income!F:F))</f>
        <v/>
      </c>
      <c r="C8" s="8" t="str">
        <f>IF(A8:A14="", "", SUMIF(Expenses!J:J, A8:A14, Expenses!F:F))</f>
        <v/>
      </c>
      <c r="D8" s="8">
        <f t="shared" si="1"/>
        <v>0</v>
      </c>
    </row>
    <row r="9">
      <c r="B9" s="8" t="str">
        <f>IF(A9:A15="", "", SUMIF(Income!G:G, A9:A15, Income!F:F))</f>
        <v/>
      </c>
      <c r="C9" s="8" t="str">
        <f>IF(A9:A15="", "", SUMIF(Expenses!J:J, A9:A15, Expenses!F:F))</f>
        <v/>
      </c>
      <c r="D9" s="8">
        <f t="shared" si="1"/>
        <v>0</v>
      </c>
    </row>
    <row r="10">
      <c r="B10" s="8" t="str">
        <f>IF(A10:A16="", "", SUMIF(Income!G:G, A10:A16, Income!F:F))</f>
        <v/>
      </c>
      <c r="C10" s="8" t="str">
        <f>IF(A10:A16="", "", SUMIF(Expenses!J:J, A10:A16, Expenses!F:F))</f>
        <v/>
      </c>
      <c r="D10" s="8">
        <f t="shared" si="1"/>
        <v>0</v>
      </c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4444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5"/>
    <col customWidth="1" min="2" max="2" width="31.38"/>
    <col customWidth="1" min="3" max="3" width="18.88"/>
    <col customWidth="1" min="6" max="6" width="14.63"/>
  </cols>
  <sheetData>
    <row r="1">
      <c r="A1" s="12" t="s">
        <v>91</v>
      </c>
      <c r="B1" s="35" t="s">
        <v>52</v>
      </c>
      <c r="C1" s="12" t="s">
        <v>92</v>
      </c>
      <c r="D1" s="28">
        <v>0.0</v>
      </c>
      <c r="E1" s="12" t="s">
        <v>93</v>
      </c>
      <c r="F1" s="36">
        <f>SUM(D4:D1000)</f>
        <v>190000</v>
      </c>
      <c r="G1" s="12" t="s">
        <v>94</v>
      </c>
      <c r="H1" s="37">
        <f>SUM(E4:E1000)</f>
        <v>154187.29</v>
      </c>
      <c r="I1" s="12" t="s">
        <v>95</v>
      </c>
      <c r="J1" s="38">
        <f>D1 + F1 - H1</f>
        <v>35812.71</v>
      </c>
    </row>
    <row r="3">
      <c r="A3" s="39" t="s">
        <v>36</v>
      </c>
      <c r="B3" s="39" t="s">
        <v>96</v>
      </c>
      <c r="C3" s="39" t="s">
        <v>44</v>
      </c>
      <c r="D3" s="39" t="s">
        <v>97</v>
      </c>
      <c r="E3" s="39" t="s">
        <v>98</v>
      </c>
      <c r="F3" s="39" t="s">
        <v>99</v>
      </c>
    </row>
    <row r="4">
      <c r="A4" s="22">
        <f>IFERROR(__xludf.DUMMYFUNCTION("IF(B1="""", ""Please select an account above"", SORT({   QUERY(Income!A2:G1000, ""SELECT A, C, D, F, 0 WHERE G = '""&amp;B1&amp;""' AND A IS NOT NULL"", 0);   QUERY(Expenses!A2:J1000, ""SELECT A, C, E, 0, F WHERE J = '""&amp;B1&amp;""' AND A IS NOT NULL"", 0) }, 1, TRUE)"&amp;")"),45950.0)</f>
        <v>45950</v>
      </c>
      <c r="B4" s="10" t="str">
        <f>IFERROR(__xludf.DUMMYFUNCTION("""COMPUTED_VALUE"""),"Solotech Energy")</f>
        <v>Solotech Energy</v>
      </c>
      <c r="C4" s="10" t="str">
        <f>IFERROR(__xludf.DUMMYFUNCTION("""COMPUTED_VALUE"""),"Solar Kit")</f>
        <v>Solar Kit</v>
      </c>
      <c r="D4" s="40">
        <f>IFERROR(__xludf.DUMMYFUNCTION("""COMPUTED_VALUE"""),0.0)</f>
        <v>0</v>
      </c>
      <c r="E4" s="41">
        <f>IFERROR(__xludf.DUMMYFUNCTION("""COMPUTED_VALUE"""),146633.99)</f>
        <v>146633.99</v>
      </c>
      <c r="F4" s="27">
        <f>IF(A4="", "", D1 + D4 - E4)</f>
        <v>-146633.99</v>
      </c>
    </row>
    <row r="5">
      <c r="A5" s="22">
        <f>IFERROR(__xludf.DUMMYFUNCTION("""COMPUTED_VALUE"""),45951.0)</f>
        <v>45951</v>
      </c>
      <c r="B5" s="10" t="str">
        <f>IFERROR(__xludf.DUMMYFUNCTION("""COMPUTED_VALUE"""),"Sareeta Prusty")</f>
        <v>Sareeta Prusty</v>
      </c>
      <c r="C5" s="10" t="str">
        <f>IFERROR(__xludf.DUMMYFUNCTION("""COMPUTED_VALUE"""),"Final Settlement (Customer)")</f>
        <v>Final Settlement (Customer)</v>
      </c>
      <c r="D5" s="40">
        <f>IFERROR(__xludf.DUMMYFUNCTION("""COMPUTED_VALUE"""),190000.0)</f>
        <v>190000</v>
      </c>
      <c r="E5" s="41">
        <f>IFERROR(__xludf.DUMMYFUNCTION("""COMPUTED_VALUE"""),0.0)</f>
        <v>0</v>
      </c>
      <c r="F5" s="27">
        <f t="shared" ref="F5:F1000" si="1">IF(A5="", "", F4 + D5 - E5)</f>
        <v>43366.01</v>
      </c>
    </row>
    <row r="6">
      <c r="A6" s="22">
        <f>IFERROR(__xludf.DUMMYFUNCTION("""COMPUTED_VALUE"""),45951.0)</f>
        <v>45951</v>
      </c>
      <c r="B6" s="10" t="str">
        <f>IFERROR(__xludf.DUMMYFUNCTION("""COMPUTED_VALUE"""),"TPWODL")</f>
        <v>TPWODL</v>
      </c>
      <c r="C6" s="10" t="str">
        <f>IFERROR(__xludf.DUMMYFUNCTION("""COMPUTED_VALUE"""),"Net Metering Fees")</f>
        <v>Net Metering Fees</v>
      </c>
      <c r="D6" s="40">
        <f>IFERROR(__xludf.DUMMYFUNCTION("""COMPUTED_VALUE"""),0.0)</f>
        <v>0</v>
      </c>
      <c r="E6" s="41">
        <f>IFERROR(__xludf.DUMMYFUNCTION("""COMPUTED_VALUE"""),4434.0)</f>
        <v>4434</v>
      </c>
      <c r="F6" s="27">
        <f t="shared" si="1"/>
        <v>38932.01</v>
      </c>
    </row>
    <row r="7">
      <c r="A7" s="22">
        <f>IFERROR(__xludf.DUMMYFUNCTION("""COMPUTED_VALUE"""),45951.0)</f>
        <v>45951</v>
      </c>
      <c r="B7" s="10" t="str">
        <f>IFERROR(__xludf.DUMMYFUNCTION("""COMPUTED_VALUE"""),"Electrical Shop")</f>
        <v>Electrical Shop</v>
      </c>
      <c r="C7" s="10" t="str">
        <f>IFERROR(__xludf.DUMMYFUNCTION("""COMPUTED_VALUE"""),"Raw Material")</f>
        <v>Raw Material</v>
      </c>
      <c r="D7" s="40">
        <f>IFERROR(__xludf.DUMMYFUNCTION("""COMPUTED_VALUE"""),0.0)</f>
        <v>0</v>
      </c>
      <c r="E7" s="41">
        <f>IFERROR(__xludf.DUMMYFUNCTION("""COMPUTED_VALUE"""),850.0)</f>
        <v>850</v>
      </c>
      <c r="F7" s="27">
        <f t="shared" si="1"/>
        <v>38082.01</v>
      </c>
    </row>
    <row r="8">
      <c r="A8" s="22">
        <f>IFERROR(__xludf.DUMMYFUNCTION("""COMPUTED_VALUE"""),45960.0)</f>
        <v>45960</v>
      </c>
      <c r="B8" s="10" t="str">
        <f>IFERROR(__xludf.DUMMYFUNCTION("""COMPUTED_VALUE"""),"Jio Fiber")</f>
        <v>Jio Fiber</v>
      </c>
      <c r="C8" s="10" t="str">
        <f>IFERROR(__xludf.DUMMYFUNCTION("""COMPUTED_VALUE"""),"Office Expenses")</f>
        <v>Office Expenses</v>
      </c>
      <c r="D8" s="40">
        <f>IFERROR(__xludf.DUMMYFUNCTION("""COMPUTED_VALUE"""),0.0)</f>
        <v>0</v>
      </c>
      <c r="E8" s="41">
        <f>IFERROR(__xludf.DUMMYFUNCTION("""COMPUTED_VALUE"""),500.0)</f>
        <v>500</v>
      </c>
      <c r="F8" s="27">
        <f t="shared" si="1"/>
        <v>37582.01</v>
      </c>
    </row>
    <row r="9">
      <c r="A9" s="22">
        <f>IFERROR(__xludf.DUMMYFUNCTION("""COMPUTED_VALUE"""),45960.0)</f>
        <v>45960</v>
      </c>
      <c r="B9" s="10" t="str">
        <f>IFERROR(__xludf.DUMMYFUNCTION("""COMPUTED_VALUE"""),"TPWODL")</f>
        <v>TPWODL</v>
      </c>
      <c r="C9" s="10" t="str">
        <f>IFERROR(__xludf.DUMMYFUNCTION("""COMPUTED_VALUE"""),"Office Expenses")</f>
        <v>Office Expenses</v>
      </c>
      <c r="D9" s="40">
        <f>IFERROR(__xludf.DUMMYFUNCTION("""COMPUTED_VALUE"""),0.0)</f>
        <v>0</v>
      </c>
      <c r="E9" s="41">
        <f>IFERROR(__xludf.DUMMYFUNCTION("""COMPUTED_VALUE"""),269.3)</f>
        <v>269.3</v>
      </c>
      <c r="F9" s="27">
        <f t="shared" si="1"/>
        <v>37312.71</v>
      </c>
    </row>
    <row r="10">
      <c r="A10" s="22">
        <f>IFERROR(__xludf.DUMMYFUNCTION("""COMPUTED_VALUE"""),45960.0)</f>
        <v>45960</v>
      </c>
      <c r="B10" s="10"/>
      <c r="C10" s="10" t="str">
        <f>IFERROR(__xludf.DUMMYFUNCTION("""COMPUTED_VALUE"""),"Salary")</f>
        <v>Salary</v>
      </c>
      <c r="D10" s="40">
        <f>IFERROR(__xludf.DUMMYFUNCTION("""COMPUTED_VALUE"""),0.0)</f>
        <v>0</v>
      </c>
      <c r="E10" s="41">
        <f>IFERROR(__xludf.DUMMYFUNCTION("""COMPUTED_VALUE"""),1500.0)</f>
        <v>1500</v>
      </c>
      <c r="F10" s="27">
        <f t="shared" si="1"/>
        <v>35812.71</v>
      </c>
    </row>
    <row r="11">
      <c r="A11" s="22" t="str">
        <f>IFERROR(__xludf.DUMMYFUNCTION("""COMPUTED_VALUE"""),"")</f>
        <v/>
      </c>
      <c r="B11" s="10" t="str">
        <f>IFERROR(__xludf.DUMMYFUNCTION("""COMPUTED_VALUE"""),"")</f>
        <v/>
      </c>
      <c r="C11" s="10" t="str">
        <f>IFERROR(__xludf.DUMMYFUNCTION("""COMPUTED_VALUE"""),"")</f>
        <v/>
      </c>
      <c r="D11" s="40" t="str">
        <f>IFERROR(__xludf.DUMMYFUNCTION("""COMPUTED_VALUE"""),"")</f>
        <v/>
      </c>
      <c r="E11" s="41" t="str">
        <f>IFERROR(__xludf.DUMMYFUNCTION("""COMPUTED_VALUE"""),"0()")</f>
        <v>0()</v>
      </c>
      <c r="F11" s="27" t="str">
        <f t="shared" si="1"/>
        <v/>
      </c>
    </row>
    <row r="12">
      <c r="A12" s="22" t="str">
        <f>IFERROR(__xludf.DUMMYFUNCTION("""COMPUTED_VALUE"""),"")</f>
        <v/>
      </c>
      <c r="B12" s="10" t="str">
        <f>IFERROR(__xludf.DUMMYFUNCTION("""COMPUTED_VALUE"""),"")</f>
        <v/>
      </c>
      <c r="C12" s="10" t="str">
        <f>IFERROR(__xludf.DUMMYFUNCTION("""COMPUTED_VALUE"""),"")</f>
        <v/>
      </c>
      <c r="D12" s="40" t="str">
        <f>IFERROR(__xludf.DUMMYFUNCTION("""COMPUTED_VALUE"""),"0()")</f>
        <v>0()</v>
      </c>
      <c r="E12" s="41" t="str">
        <f>IFERROR(__xludf.DUMMYFUNCTION("""COMPUTED_VALUE"""),"")</f>
        <v/>
      </c>
      <c r="F12" s="27" t="str">
        <f t="shared" si="1"/>
        <v/>
      </c>
    </row>
    <row r="13">
      <c r="A13" s="22"/>
      <c r="D13" s="40"/>
      <c r="E13" s="41"/>
      <c r="F13" s="27" t="str">
        <f t="shared" si="1"/>
        <v/>
      </c>
    </row>
    <row r="14">
      <c r="A14" s="22"/>
      <c r="D14" s="40"/>
      <c r="E14" s="41"/>
      <c r="F14" s="27" t="str">
        <f t="shared" si="1"/>
        <v/>
      </c>
    </row>
    <row r="15">
      <c r="A15" s="22"/>
      <c r="D15" s="40"/>
      <c r="E15" s="41"/>
      <c r="F15" s="27" t="str">
        <f t="shared" si="1"/>
        <v/>
      </c>
    </row>
    <row r="16">
      <c r="A16" s="22"/>
      <c r="D16" s="40"/>
      <c r="E16" s="41"/>
      <c r="F16" s="27" t="str">
        <f t="shared" si="1"/>
        <v/>
      </c>
    </row>
    <row r="17">
      <c r="A17" s="22"/>
      <c r="D17" s="40"/>
      <c r="E17" s="41"/>
      <c r="F17" s="27" t="str">
        <f t="shared" si="1"/>
        <v/>
      </c>
    </row>
    <row r="18">
      <c r="A18" s="22"/>
      <c r="D18" s="40"/>
      <c r="E18" s="41"/>
      <c r="F18" s="27" t="str">
        <f t="shared" si="1"/>
        <v/>
      </c>
    </row>
    <row r="19">
      <c r="A19" s="22"/>
      <c r="D19" s="40"/>
      <c r="E19" s="41"/>
      <c r="F19" s="27" t="str">
        <f t="shared" si="1"/>
        <v/>
      </c>
    </row>
    <row r="20">
      <c r="A20" s="22"/>
      <c r="D20" s="40"/>
      <c r="E20" s="41"/>
      <c r="F20" s="27" t="str">
        <f t="shared" si="1"/>
        <v/>
      </c>
    </row>
    <row r="21">
      <c r="A21" s="22"/>
      <c r="D21" s="40"/>
      <c r="E21" s="41"/>
      <c r="F21" s="27" t="str">
        <f t="shared" si="1"/>
        <v/>
      </c>
    </row>
    <row r="22">
      <c r="A22" s="22"/>
      <c r="D22" s="40"/>
      <c r="E22" s="41"/>
      <c r="F22" s="27" t="str">
        <f t="shared" si="1"/>
        <v/>
      </c>
    </row>
    <row r="23">
      <c r="A23" s="22"/>
      <c r="D23" s="40"/>
      <c r="E23" s="41"/>
      <c r="F23" s="27" t="str">
        <f t="shared" si="1"/>
        <v/>
      </c>
    </row>
    <row r="24">
      <c r="A24" s="22"/>
      <c r="D24" s="40"/>
      <c r="E24" s="41"/>
      <c r="F24" s="27" t="str">
        <f t="shared" si="1"/>
        <v/>
      </c>
    </row>
    <row r="25">
      <c r="A25" s="22"/>
      <c r="D25" s="40"/>
      <c r="E25" s="41"/>
      <c r="F25" s="27" t="str">
        <f t="shared" si="1"/>
        <v/>
      </c>
    </row>
    <row r="26">
      <c r="A26" s="22"/>
      <c r="D26" s="40"/>
      <c r="E26" s="41"/>
      <c r="F26" s="27" t="str">
        <f t="shared" si="1"/>
        <v/>
      </c>
    </row>
    <row r="27">
      <c r="A27" s="22"/>
      <c r="D27" s="40"/>
      <c r="E27" s="41"/>
      <c r="F27" s="27" t="str">
        <f t="shared" si="1"/>
        <v/>
      </c>
    </row>
    <row r="28">
      <c r="A28" s="22"/>
      <c r="D28" s="40"/>
      <c r="E28" s="41"/>
      <c r="F28" s="27" t="str">
        <f t="shared" si="1"/>
        <v/>
      </c>
    </row>
    <row r="29">
      <c r="A29" s="22"/>
      <c r="D29" s="40"/>
      <c r="E29" s="41"/>
      <c r="F29" s="27" t="str">
        <f t="shared" si="1"/>
        <v/>
      </c>
    </row>
    <row r="30">
      <c r="A30" s="22"/>
      <c r="D30" s="40"/>
      <c r="E30" s="41"/>
      <c r="F30" s="27" t="str">
        <f t="shared" si="1"/>
        <v/>
      </c>
    </row>
    <row r="31">
      <c r="A31" s="22"/>
      <c r="D31" s="40"/>
      <c r="E31" s="41"/>
      <c r="F31" s="27" t="str">
        <f t="shared" si="1"/>
        <v/>
      </c>
    </row>
    <row r="32">
      <c r="A32" s="22"/>
      <c r="D32" s="40"/>
      <c r="E32" s="41"/>
      <c r="F32" s="27" t="str">
        <f t="shared" si="1"/>
        <v/>
      </c>
    </row>
    <row r="33">
      <c r="A33" s="22"/>
      <c r="D33" s="40"/>
      <c r="E33" s="41"/>
      <c r="F33" s="27" t="str">
        <f t="shared" si="1"/>
        <v/>
      </c>
    </row>
    <row r="34">
      <c r="A34" s="22"/>
      <c r="D34" s="40"/>
      <c r="E34" s="41"/>
      <c r="F34" s="27" t="str">
        <f t="shared" si="1"/>
        <v/>
      </c>
    </row>
    <row r="35">
      <c r="A35" s="22"/>
      <c r="D35" s="40"/>
      <c r="E35" s="41"/>
      <c r="F35" s="27" t="str">
        <f t="shared" si="1"/>
        <v/>
      </c>
    </row>
    <row r="36">
      <c r="A36" s="22"/>
      <c r="D36" s="40"/>
      <c r="E36" s="41"/>
      <c r="F36" s="27" t="str">
        <f t="shared" si="1"/>
        <v/>
      </c>
    </row>
    <row r="37">
      <c r="A37" s="22"/>
      <c r="D37" s="40"/>
      <c r="E37" s="41"/>
      <c r="F37" s="27" t="str">
        <f t="shared" si="1"/>
        <v/>
      </c>
    </row>
    <row r="38">
      <c r="A38" s="22"/>
      <c r="D38" s="40"/>
      <c r="E38" s="41"/>
      <c r="F38" s="27" t="str">
        <f t="shared" si="1"/>
        <v/>
      </c>
    </row>
    <row r="39">
      <c r="A39" s="22"/>
      <c r="D39" s="40"/>
      <c r="E39" s="41"/>
      <c r="F39" s="27" t="str">
        <f t="shared" si="1"/>
        <v/>
      </c>
    </row>
    <row r="40">
      <c r="A40" s="22"/>
      <c r="D40" s="40"/>
      <c r="E40" s="41"/>
      <c r="F40" s="27" t="str">
        <f t="shared" si="1"/>
        <v/>
      </c>
    </row>
    <row r="41">
      <c r="A41" s="22"/>
      <c r="D41" s="40"/>
      <c r="E41" s="41"/>
      <c r="F41" s="27" t="str">
        <f t="shared" si="1"/>
        <v/>
      </c>
    </row>
    <row r="42">
      <c r="A42" s="22"/>
      <c r="D42" s="40"/>
      <c r="E42" s="41"/>
      <c r="F42" s="27" t="str">
        <f t="shared" si="1"/>
        <v/>
      </c>
    </row>
    <row r="43">
      <c r="A43" s="22"/>
      <c r="D43" s="40"/>
      <c r="E43" s="41"/>
      <c r="F43" s="27" t="str">
        <f t="shared" si="1"/>
        <v/>
      </c>
    </row>
    <row r="44">
      <c r="A44" s="22"/>
      <c r="D44" s="40"/>
      <c r="E44" s="41"/>
      <c r="F44" s="27" t="str">
        <f t="shared" si="1"/>
        <v/>
      </c>
    </row>
    <row r="45">
      <c r="A45" s="22"/>
      <c r="D45" s="40"/>
      <c r="E45" s="41"/>
      <c r="F45" s="27" t="str">
        <f t="shared" si="1"/>
        <v/>
      </c>
    </row>
    <row r="46">
      <c r="A46" s="22"/>
      <c r="D46" s="40"/>
      <c r="E46" s="41"/>
      <c r="F46" s="27" t="str">
        <f t="shared" si="1"/>
        <v/>
      </c>
    </row>
    <row r="47">
      <c r="A47" s="22"/>
      <c r="D47" s="40"/>
      <c r="E47" s="41"/>
      <c r="F47" s="27" t="str">
        <f t="shared" si="1"/>
        <v/>
      </c>
    </row>
    <row r="48">
      <c r="A48" s="22"/>
      <c r="D48" s="40"/>
      <c r="E48" s="41"/>
      <c r="F48" s="27" t="str">
        <f t="shared" si="1"/>
        <v/>
      </c>
    </row>
    <row r="49">
      <c r="A49" s="22"/>
      <c r="D49" s="40"/>
      <c r="E49" s="41"/>
      <c r="F49" s="27" t="str">
        <f t="shared" si="1"/>
        <v/>
      </c>
    </row>
    <row r="50">
      <c r="A50" s="22"/>
      <c r="D50" s="40"/>
      <c r="E50" s="41"/>
      <c r="F50" s="27" t="str">
        <f t="shared" si="1"/>
        <v/>
      </c>
    </row>
    <row r="51">
      <c r="A51" s="22"/>
      <c r="D51" s="40"/>
      <c r="E51" s="41"/>
      <c r="F51" s="27" t="str">
        <f t="shared" si="1"/>
        <v/>
      </c>
    </row>
    <row r="52">
      <c r="A52" s="22"/>
      <c r="D52" s="40"/>
      <c r="E52" s="41"/>
      <c r="F52" s="27" t="str">
        <f t="shared" si="1"/>
        <v/>
      </c>
    </row>
    <row r="53">
      <c r="A53" s="22"/>
      <c r="D53" s="40"/>
      <c r="E53" s="41"/>
      <c r="F53" s="27" t="str">
        <f t="shared" si="1"/>
        <v/>
      </c>
    </row>
    <row r="54">
      <c r="A54" s="22"/>
      <c r="D54" s="40"/>
      <c r="E54" s="41"/>
      <c r="F54" s="27" t="str">
        <f t="shared" si="1"/>
        <v/>
      </c>
    </row>
    <row r="55">
      <c r="A55" s="22"/>
      <c r="D55" s="40"/>
      <c r="E55" s="41"/>
      <c r="F55" s="27" t="str">
        <f t="shared" si="1"/>
        <v/>
      </c>
    </row>
    <row r="56">
      <c r="A56" s="22"/>
      <c r="D56" s="40"/>
      <c r="E56" s="41"/>
      <c r="F56" s="27" t="str">
        <f t="shared" si="1"/>
        <v/>
      </c>
    </row>
    <row r="57">
      <c r="A57" s="22"/>
      <c r="D57" s="40"/>
      <c r="E57" s="41"/>
      <c r="F57" s="27" t="str">
        <f t="shared" si="1"/>
        <v/>
      </c>
    </row>
    <row r="58">
      <c r="A58" s="22"/>
      <c r="D58" s="40"/>
      <c r="E58" s="41"/>
      <c r="F58" s="27" t="str">
        <f t="shared" si="1"/>
        <v/>
      </c>
    </row>
    <row r="59">
      <c r="A59" s="22"/>
      <c r="D59" s="40"/>
      <c r="E59" s="41"/>
      <c r="F59" s="27" t="str">
        <f t="shared" si="1"/>
        <v/>
      </c>
    </row>
    <row r="60">
      <c r="A60" s="22"/>
      <c r="D60" s="40"/>
      <c r="E60" s="41"/>
      <c r="F60" s="27" t="str">
        <f t="shared" si="1"/>
        <v/>
      </c>
    </row>
    <row r="61">
      <c r="A61" s="22"/>
      <c r="D61" s="40"/>
      <c r="E61" s="41"/>
      <c r="F61" s="27" t="str">
        <f t="shared" si="1"/>
        <v/>
      </c>
    </row>
    <row r="62">
      <c r="A62" s="22"/>
      <c r="D62" s="40"/>
      <c r="E62" s="41"/>
      <c r="F62" s="27" t="str">
        <f t="shared" si="1"/>
        <v/>
      </c>
    </row>
    <row r="63">
      <c r="A63" s="22"/>
      <c r="D63" s="40"/>
      <c r="E63" s="41"/>
      <c r="F63" s="27" t="str">
        <f t="shared" si="1"/>
        <v/>
      </c>
    </row>
    <row r="64">
      <c r="A64" s="22"/>
      <c r="D64" s="40"/>
      <c r="E64" s="41"/>
      <c r="F64" s="27" t="str">
        <f t="shared" si="1"/>
        <v/>
      </c>
    </row>
    <row r="65">
      <c r="A65" s="22"/>
      <c r="D65" s="40"/>
      <c r="E65" s="41"/>
      <c r="F65" s="27" t="str">
        <f t="shared" si="1"/>
        <v/>
      </c>
    </row>
    <row r="66">
      <c r="A66" s="22"/>
      <c r="D66" s="40"/>
      <c r="E66" s="41"/>
      <c r="F66" s="27" t="str">
        <f t="shared" si="1"/>
        <v/>
      </c>
    </row>
    <row r="67">
      <c r="A67" s="22"/>
      <c r="D67" s="40"/>
      <c r="E67" s="41"/>
      <c r="F67" s="27" t="str">
        <f t="shared" si="1"/>
        <v/>
      </c>
    </row>
    <row r="68">
      <c r="A68" s="22"/>
      <c r="D68" s="40"/>
      <c r="E68" s="41"/>
      <c r="F68" s="27" t="str">
        <f t="shared" si="1"/>
        <v/>
      </c>
    </row>
    <row r="69">
      <c r="A69" s="22"/>
      <c r="D69" s="40"/>
      <c r="E69" s="41"/>
      <c r="F69" s="27" t="str">
        <f t="shared" si="1"/>
        <v/>
      </c>
    </row>
    <row r="70">
      <c r="A70" s="22"/>
      <c r="D70" s="40"/>
      <c r="E70" s="41"/>
      <c r="F70" s="27" t="str">
        <f t="shared" si="1"/>
        <v/>
      </c>
    </row>
    <row r="71">
      <c r="A71" s="22"/>
      <c r="D71" s="40"/>
      <c r="E71" s="41"/>
      <c r="F71" s="27" t="str">
        <f t="shared" si="1"/>
        <v/>
      </c>
    </row>
    <row r="72">
      <c r="A72" s="22"/>
      <c r="D72" s="40"/>
      <c r="E72" s="41"/>
      <c r="F72" s="27" t="str">
        <f t="shared" si="1"/>
        <v/>
      </c>
    </row>
    <row r="73">
      <c r="A73" s="22"/>
      <c r="D73" s="40"/>
      <c r="E73" s="41"/>
      <c r="F73" s="27" t="str">
        <f t="shared" si="1"/>
        <v/>
      </c>
    </row>
    <row r="74">
      <c r="A74" s="22"/>
      <c r="D74" s="40"/>
      <c r="E74" s="41"/>
      <c r="F74" s="27" t="str">
        <f t="shared" si="1"/>
        <v/>
      </c>
    </row>
    <row r="75">
      <c r="A75" s="22"/>
      <c r="D75" s="40"/>
      <c r="E75" s="41"/>
      <c r="F75" s="27" t="str">
        <f t="shared" si="1"/>
        <v/>
      </c>
    </row>
    <row r="76">
      <c r="A76" s="22"/>
      <c r="D76" s="40"/>
      <c r="E76" s="41"/>
      <c r="F76" s="27" t="str">
        <f t="shared" si="1"/>
        <v/>
      </c>
    </row>
    <row r="77">
      <c r="A77" s="22"/>
      <c r="D77" s="40"/>
      <c r="E77" s="41"/>
      <c r="F77" s="27" t="str">
        <f t="shared" si="1"/>
        <v/>
      </c>
    </row>
    <row r="78">
      <c r="A78" s="22"/>
      <c r="D78" s="40"/>
      <c r="E78" s="41"/>
      <c r="F78" s="27" t="str">
        <f t="shared" si="1"/>
        <v/>
      </c>
    </row>
    <row r="79">
      <c r="A79" s="22"/>
      <c r="D79" s="40"/>
      <c r="E79" s="41"/>
      <c r="F79" s="27" t="str">
        <f t="shared" si="1"/>
        <v/>
      </c>
    </row>
    <row r="80">
      <c r="A80" s="22"/>
      <c r="D80" s="40"/>
      <c r="E80" s="41"/>
      <c r="F80" s="27" t="str">
        <f t="shared" si="1"/>
        <v/>
      </c>
    </row>
    <row r="81">
      <c r="A81" s="22"/>
      <c r="D81" s="40"/>
      <c r="E81" s="41"/>
      <c r="F81" s="27" t="str">
        <f t="shared" si="1"/>
        <v/>
      </c>
    </row>
    <row r="82">
      <c r="A82" s="22"/>
      <c r="D82" s="40"/>
      <c r="E82" s="41"/>
      <c r="F82" s="27" t="str">
        <f t="shared" si="1"/>
        <v/>
      </c>
    </row>
    <row r="83">
      <c r="A83" s="22"/>
      <c r="D83" s="40"/>
      <c r="E83" s="41"/>
      <c r="F83" s="27" t="str">
        <f t="shared" si="1"/>
        <v/>
      </c>
    </row>
    <row r="84">
      <c r="A84" s="22"/>
      <c r="D84" s="40"/>
      <c r="E84" s="41"/>
      <c r="F84" s="27" t="str">
        <f t="shared" si="1"/>
        <v/>
      </c>
    </row>
    <row r="85">
      <c r="A85" s="22"/>
      <c r="D85" s="40"/>
      <c r="E85" s="41"/>
      <c r="F85" s="27" t="str">
        <f t="shared" si="1"/>
        <v/>
      </c>
    </row>
    <row r="86">
      <c r="A86" s="22"/>
      <c r="D86" s="40"/>
      <c r="E86" s="41"/>
      <c r="F86" s="27" t="str">
        <f t="shared" si="1"/>
        <v/>
      </c>
    </row>
    <row r="87">
      <c r="A87" s="22"/>
      <c r="D87" s="40"/>
      <c r="E87" s="41"/>
      <c r="F87" s="27" t="str">
        <f t="shared" si="1"/>
        <v/>
      </c>
    </row>
    <row r="88">
      <c r="A88" s="22"/>
      <c r="D88" s="40"/>
      <c r="E88" s="41"/>
      <c r="F88" s="27" t="str">
        <f t="shared" si="1"/>
        <v/>
      </c>
    </row>
    <row r="89">
      <c r="A89" s="22"/>
      <c r="D89" s="40"/>
      <c r="E89" s="41"/>
      <c r="F89" s="27" t="str">
        <f t="shared" si="1"/>
        <v/>
      </c>
    </row>
    <row r="90">
      <c r="A90" s="22"/>
      <c r="D90" s="40"/>
      <c r="E90" s="41"/>
      <c r="F90" s="27" t="str">
        <f t="shared" si="1"/>
        <v/>
      </c>
    </row>
    <row r="91">
      <c r="A91" s="22"/>
      <c r="D91" s="40"/>
      <c r="E91" s="41"/>
      <c r="F91" s="27" t="str">
        <f t="shared" si="1"/>
        <v/>
      </c>
    </row>
    <row r="92">
      <c r="A92" s="22"/>
      <c r="D92" s="40"/>
      <c r="E92" s="41"/>
      <c r="F92" s="27" t="str">
        <f t="shared" si="1"/>
        <v/>
      </c>
    </row>
    <row r="93">
      <c r="A93" s="22"/>
      <c r="D93" s="40"/>
      <c r="E93" s="41"/>
      <c r="F93" s="27" t="str">
        <f t="shared" si="1"/>
        <v/>
      </c>
    </row>
    <row r="94">
      <c r="A94" s="22"/>
      <c r="D94" s="40"/>
      <c r="E94" s="41"/>
      <c r="F94" s="27" t="str">
        <f t="shared" si="1"/>
        <v/>
      </c>
    </row>
    <row r="95">
      <c r="A95" s="22"/>
      <c r="D95" s="40"/>
      <c r="E95" s="41"/>
      <c r="F95" s="27" t="str">
        <f t="shared" si="1"/>
        <v/>
      </c>
    </row>
    <row r="96">
      <c r="A96" s="22"/>
      <c r="D96" s="40"/>
      <c r="E96" s="41"/>
      <c r="F96" s="27" t="str">
        <f t="shared" si="1"/>
        <v/>
      </c>
    </row>
    <row r="97">
      <c r="A97" s="22"/>
      <c r="D97" s="40"/>
      <c r="E97" s="41"/>
      <c r="F97" s="27" t="str">
        <f t="shared" si="1"/>
        <v/>
      </c>
    </row>
    <row r="98">
      <c r="A98" s="22"/>
      <c r="D98" s="40"/>
      <c r="E98" s="41"/>
      <c r="F98" s="27" t="str">
        <f t="shared" si="1"/>
        <v/>
      </c>
    </row>
    <row r="99">
      <c r="A99" s="22"/>
      <c r="D99" s="40"/>
      <c r="E99" s="41"/>
      <c r="F99" s="27" t="str">
        <f t="shared" si="1"/>
        <v/>
      </c>
    </row>
    <row r="100">
      <c r="A100" s="22"/>
      <c r="D100" s="40"/>
      <c r="E100" s="41"/>
      <c r="F100" s="27" t="str">
        <f t="shared" si="1"/>
        <v/>
      </c>
    </row>
    <row r="101">
      <c r="A101" s="22"/>
      <c r="D101" s="40"/>
      <c r="E101" s="41"/>
      <c r="F101" s="27" t="str">
        <f t="shared" si="1"/>
        <v/>
      </c>
    </row>
    <row r="102">
      <c r="A102" s="22"/>
      <c r="D102" s="40"/>
      <c r="E102" s="41"/>
      <c r="F102" s="27" t="str">
        <f t="shared" si="1"/>
        <v/>
      </c>
    </row>
    <row r="103">
      <c r="A103" s="22"/>
      <c r="D103" s="40"/>
      <c r="E103" s="41"/>
      <c r="F103" s="27" t="str">
        <f t="shared" si="1"/>
        <v/>
      </c>
    </row>
    <row r="104">
      <c r="A104" s="22"/>
      <c r="D104" s="40"/>
      <c r="E104" s="41"/>
      <c r="F104" s="27" t="str">
        <f t="shared" si="1"/>
        <v/>
      </c>
    </row>
    <row r="105">
      <c r="A105" s="22"/>
      <c r="D105" s="40"/>
      <c r="E105" s="41"/>
      <c r="F105" s="27" t="str">
        <f t="shared" si="1"/>
        <v/>
      </c>
    </row>
    <row r="106">
      <c r="A106" s="22"/>
      <c r="D106" s="40"/>
      <c r="E106" s="41"/>
      <c r="F106" s="27" t="str">
        <f t="shared" si="1"/>
        <v/>
      </c>
    </row>
    <row r="107">
      <c r="A107" s="22"/>
      <c r="D107" s="40"/>
      <c r="E107" s="41"/>
      <c r="F107" s="27" t="str">
        <f t="shared" si="1"/>
        <v/>
      </c>
    </row>
    <row r="108">
      <c r="A108" s="22"/>
      <c r="D108" s="40"/>
      <c r="E108" s="41"/>
      <c r="F108" s="27" t="str">
        <f t="shared" si="1"/>
        <v/>
      </c>
    </row>
    <row r="109">
      <c r="A109" s="22"/>
      <c r="D109" s="40"/>
      <c r="E109" s="41"/>
      <c r="F109" s="27" t="str">
        <f t="shared" si="1"/>
        <v/>
      </c>
    </row>
    <row r="110">
      <c r="A110" s="22"/>
      <c r="D110" s="40"/>
      <c r="E110" s="41"/>
      <c r="F110" s="27" t="str">
        <f t="shared" si="1"/>
        <v/>
      </c>
    </row>
    <row r="111">
      <c r="A111" s="22"/>
      <c r="D111" s="40"/>
      <c r="E111" s="41"/>
      <c r="F111" s="27" t="str">
        <f t="shared" si="1"/>
        <v/>
      </c>
    </row>
    <row r="112">
      <c r="A112" s="22"/>
      <c r="D112" s="40"/>
      <c r="E112" s="41"/>
      <c r="F112" s="27" t="str">
        <f t="shared" si="1"/>
        <v/>
      </c>
    </row>
    <row r="113">
      <c r="A113" s="22"/>
      <c r="D113" s="40"/>
      <c r="E113" s="41"/>
      <c r="F113" s="27" t="str">
        <f t="shared" si="1"/>
        <v/>
      </c>
    </row>
    <row r="114">
      <c r="A114" s="22"/>
      <c r="D114" s="40"/>
      <c r="E114" s="41"/>
      <c r="F114" s="27" t="str">
        <f t="shared" si="1"/>
        <v/>
      </c>
    </row>
    <row r="115">
      <c r="A115" s="22"/>
      <c r="D115" s="40"/>
      <c r="E115" s="41"/>
      <c r="F115" s="27" t="str">
        <f t="shared" si="1"/>
        <v/>
      </c>
    </row>
    <row r="116">
      <c r="A116" s="22"/>
      <c r="D116" s="40"/>
      <c r="E116" s="41"/>
      <c r="F116" s="27" t="str">
        <f t="shared" si="1"/>
        <v/>
      </c>
    </row>
    <row r="117">
      <c r="A117" s="22"/>
      <c r="D117" s="40"/>
      <c r="E117" s="41"/>
      <c r="F117" s="27" t="str">
        <f t="shared" si="1"/>
        <v/>
      </c>
    </row>
    <row r="118">
      <c r="A118" s="22"/>
      <c r="D118" s="40"/>
      <c r="E118" s="41"/>
      <c r="F118" s="27" t="str">
        <f t="shared" si="1"/>
        <v/>
      </c>
    </row>
    <row r="119">
      <c r="A119" s="22"/>
      <c r="D119" s="40"/>
      <c r="E119" s="41"/>
      <c r="F119" s="27" t="str">
        <f t="shared" si="1"/>
        <v/>
      </c>
    </row>
    <row r="120">
      <c r="A120" s="22"/>
      <c r="D120" s="40"/>
      <c r="E120" s="41"/>
      <c r="F120" s="27" t="str">
        <f t="shared" si="1"/>
        <v/>
      </c>
    </row>
    <row r="121">
      <c r="A121" s="22"/>
      <c r="D121" s="40"/>
      <c r="E121" s="41"/>
      <c r="F121" s="27" t="str">
        <f t="shared" si="1"/>
        <v/>
      </c>
    </row>
    <row r="122">
      <c r="A122" s="22"/>
      <c r="D122" s="40"/>
      <c r="E122" s="41"/>
      <c r="F122" s="27" t="str">
        <f t="shared" si="1"/>
        <v/>
      </c>
    </row>
    <row r="123">
      <c r="A123" s="22"/>
      <c r="D123" s="40"/>
      <c r="E123" s="41"/>
      <c r="F123" s="27" t="str">
        <f t="shared" si="1"/>
        <v/>
      </c>
    </row>
    <row r="124">
      <c r="A124" s="22"/>
      <c r="D124" s="40"/>
      <c r="E124" s="41"/>
      <c r="F124" s="27" t="str">
        <f t="shared" si="1"/>
        <v/>
      </c>
    </row>
    <row r="125">
      <c r="A125" s="22"/>
      <c r="D125" s="40"/>
      <c r="E125" s="41"/>
      <c r="F125" s="27" t="str">
        <f t="shared" si="1"/>
        <v/>
      </c>
    </row>
    <row r="126">
      <c r="A126" s="22"/>
      <c r="D126" s="40"/>
      <c r="E126" s="41"/>
      <c r="F126" s="27" t="str">
        <f t="shared" si="1"/>
        <v/>
      </c>
    </row>
    <row r="127">
      <c r="A127" s="22"/>
      <c r="D127" s="40"/>
      <c r="E127" s="41"/>
      <c r="F127" s="27" t="str">
        <f t="shared" si="1"/>
        <v/>
      </c>
    </row>
    <row r="128">
      <c r="A128" s="22"/>
      <c r="D128" s="40"/>
      <c r="E128" s="41"/>
      <c r="F128" s="27" t="str">
        <f t="shared" si="1"/>
        <v/>
      </c>
    </row>
    <row r="129">
      <c r="A129" s="22"/>
      <c r="D129" s="40"/>
      <c r="E129" s="41"/>
      <c r="F129" s="27" t="str">
        <f t="shared" si="1"/>
        <v/>
      </c>
    </row>
    <row r="130">
      <c r="A130" s="22"/>
      <c r="D130" s="40"/>
      <c r="E130" s="41"/>
      <c r="F130" s="27" t="str">
        <f t="shared" si="1"/>
        <v/>
      </c>
    </row>
    <row r="131">
      <c r="A131" s="22"/>
      <c r="D131" s="40"/>
      <c r="E131" s="41"/>
      <c r="F131" s="27" t="str">
        <f t="shared" si="1"/>
        <v/>
      </c>
    </row>
    <row r="132">
      <c r="A132" s="22"/>
      <c r="D132" s="40"/>
      <c r="E132" s="41"/>
      <c r="F132" s="27" t="str">
        <f t="shared" si="1"/>
        <v/>
      </c>
    </row>
    <row r="133">
      <c r="A133" s="22"/>
      <c r="D133" s="40"/>
      <c r="E133" s="41"/>
      <c r="F133" s="27" t="str">
        <f t="shared" si="1"/>
        <v/>
      </c>
    </row>
    <row r="134">
      <c r="A134" s="22"/>
      <c r="D134" s="40"/>
      <c r="E134" s="41"/>
      <c r="F134" s="27" t="str">
        <f t="shared" si="1"/>
        <v/>
      </c>
    </row>
    <row r="135">
      <c r="A135" s="22"/>
      <c r="D135" s="40"/>
      <c r="E135" s="41"/>
      <c r="F135" s="27" t="str">
        <f t="shared" si="1"/>
        <v/>
      </c>
    </row>
    <row r="136">
      <c r="A136" s="22"/>
      <c r="D136" s="40"/>
      <c r="E136" s="41"/>
      <c r="F136" s="27" t="str">
        <f t="shared" si="1"/>
        <v/>
      </c>
    </row>
    <row r="137">
      <c r="A137" s="22"/>
      <c r="D137" s="40"/>
      <c r="E137" s="41"/>
      <c r="F137" s="27" t="str">
        <f t="shared" si="1"/>
        <v/>
      </c>
    </row>
    <row r="138">
      <c r="A138" s="22"/>
      <c r="D138" s="40"/>
      <c r="E138" s="41"/>
      <c r="F138" s="27" t="str">
        <f t="shared" si="1"/>
        <v/>
      </c>
    </row>
    <row r="139">
      <c r="A139" s="22"/>
      <c r="D139" s="40"/>
      <c r="E139" s="41"/>
      <c r="F139" s="27" t="str">
        <f t="shared" si="1"/>
        <v/>
      </c>
    </row>
    <row r="140">
      <c r="A140" s="22"/>
      <c r="D140" s="40"/>
      <c r="E140" s="41"/>
      <c r="F140" s="27" t="str">
        <f t="shared" si="1"/>
        <v/>
      </c>
    </row>
    <row r="141">
      <c r="A141" s="22"/>
      <c r="D141" s="40"/>
      <c r="E141" s="41"/>
      <c r="F141" s="27" t="str">
        <f t="shared" si="1"/>
        <v/>
      </c>
    </row>
    <row r="142">
      <c r="A142" s="22"/>
      <c r="D142" s="40"/>
      <c r="E142" s="41"/>
      <c r="F142" s="27" t="str">
        <f t="shared" si="1"/>
        <v/>
      </c>
    </row>
    <row r="143">
      <c r="A143" s="22"/>
      <c r="D143" s="40"/>
      <c r="E143" s="41"/>
      <c r="F143" s="27" t="str">
        <f t="shared" si="1"/>
        <v/>
      </c>
    </row>
    <row r="144">
      <c r="A144" s="22"/>
      <c r="D144" s="40"/>
      <c r="E144" s="41"/>
      <c r="F144" s="27" t="str">
        <f t="shared" si="1"/>
        <v/>
      </c>
    </row>
    <row r="145">
      <c r="A145" s="22"/>
      <c r="D145" s="40"/>
      <c r="E145" s="41"/>
      <c r="F145" s="27" t="str">
        <f t="shared" si="1"/>
        <v/>
      </c>
    </row>
    <row r="146">
      <c r="A146" s="22"/>
      <c r="D146" s="40"/>
      <c r="E146" s="41"/>
      <c r="F146" s="27" t="str">
        <f t="shared" si="1"/>
        <v/>
      </c>
    </row>
    <row r="147">
      <c r="A147" s="22"/>
      <c r="D147" s="40"/>
      <c r="E147" s="41"/>
      <c r="F147" s="27" t="str">
        <f t="shared" si="1"/>
        <v/>
      </c>
    </row>
    <row r="148">
      <c r="A148" s="22"/>
      <c r="D148" s="40"/>
      <c r="E148" s="41"/>
      <c r="F148" s="27" t="str">
        <f t="shared" si="1"/>
        <v/>
      </c>
    </row>
    <row r="149">
      <c r="A149" s="22"/>
      <c r="D149" s="40"/>
      <c r="E149" s="41"/>
      <c r="F149" s="27" t="str">
        <f t="shared" si="1"/>
        <v/>
      </c>
    </row>
    <row r="150">
      <c r="A150" s="22"/>
      <c r="D150" s="40"/>
      <c r="E150" s="41"/>
      <c r="F150" s="27" t="str">
        <f t="shared" si="1"/>
        <v/>
      </c>
    </row>
    <row r="151">
      <c r="A151" s="22"/>
      <c r="D151" s="40"/>
      <c r="E151" s="41"/>
      <c r="F151" s="27" t="str">
        <f t="shared" si="1"/>
        <v/>
      </c>
    </row>
    <row r="152">
      <c r="A152" s="22"/>
      <c r="D152" s="40"/>
      <c r="E152" s="41"/>
      <c r="F152" s="27" t="str">
        <f t="shared" si="1"/>
        <v/>
      </c>
    </row>
    <row r="153">
      <c r="A153" s="22"/>
      <c r="D153" s="40"/>
      <c r="E153" s="41"/>
      <c r="F153" s="27" t="str">
        <f t="shared" si="1"/>
        <v/>
      </c>
    </row>
    <row r="154">
      <c r="A154" s="22"/>
      <c r="D154" s="40"/>
      <c r="E154" s="41"/>
      <c r="F154" s="27" t="str">
        <f t="shared" si="1"/>
        <v/>
      </c>
    </row>
    <row r="155">
      <c r="A155" s="22"/>
      <c r="D155" s="40"/>
      <c r="E155" s="41"/>
      <c r="F155" s="27" t="str">
        <f t="shared" si="1"/>
        <v/>
      </c>
    </row>
    <row r="156">
      <c r="A156" s="22"/>
      <c r="D156" s="40"/>
      <c r="E156" s="41"/>
      <c r="F156" s="27" t="str">
        <f t="shared" si="1"/>
        <v/>
      </c>
    </row>
    <row r="157">
      <c r="A157" s="22"/>
      <c r="D157" s="40"/>
      <c r="E157" s="41"/>
      <c r="F157" s="27" t="str">
        <f t="shared" si="1"/>
        <v/>
      </c>
    </row>
    <row r="158">
      <c r="A158" s="22"/>
      <c r="D158" s="40"/>
      <c r="E158" s="41"/>
      <c r="F158" s="27" t="str">
        <f t="shared" si="1"/>
        <v/>
      </c>
    </row>
    <row r="159">
      <c r="A159" s="22"/>
      <c r="D159" s="40"/>
      <c r="E159" s="41"/>
      <c r="F159" s="27" t="str">
        <f t="shared" si="1"/>
        <v/>
      </c>
    </row>
    <row r="160">
      <c r="A160" s="22"/>
      <c r="D160" s="40"/>
      <c r="E160" s="41"/>
      <c r="F160" s="27" t="str">
        <f t="shared" si="1"/>
        <v/>
      </c>
    </row>
    <row r="161">
      <c r="A161" s="22"/>
      <c r="D161" s="40"/>
      <c r="E161" s="41"/>
      <c r="F161" s="27" t="str">
        <f t="shared" si="1"/>
        <v/>
      </c>
    </row>
    <row r="162">
      <c r="A162" s="22"/>
      <c r="D162" s="40"/>
      <c r="E162" s="41"/>
      <c r="F162" s="27" t="str">
        <f t="shared" si="1"/>
        <v/>
      </c>
    </row>
    <row r="163">
      <c r="A163" s="22"/>
      <c r="D163" s="40"/>
      <c r="E163" s="41"/>
      <c r="F163" s="27" t="str">
        <f t="shared" si="1"/>
        <v/>
      </c>
    </row>
    <row r="164">
      <c r="A164" s="22"/>
      <c r="D164" s="40"/>
      <c r="E164" s="41"/>
      <c r="F164" s="27" t="str">
        <f t="shared" si="1"/>
        <v/>
      </c>
    </row>
    <row r="165">
      <c r="A165" s="22"/>
      <c r="D165" s="40"/>
      <c r="E165" s="41"/>
      <c r="F165" s="27" t="str">
        <f t="shared" si="1"/>
        <v/>
      </c>
    </row>
    <row r="166">
      <c r="A166" s="22"/>
      <c r="D166" s="40"/>
      <c r="E166" s="41"/>
      <c r="F166" s="27" t="str">
        <f t="shared" si="1"/>
        <v/>
      </c>
    </row>
    <row r="167">
      <c r="A167" s="22"/>
      <c r="D167" s="40"/>
      <c r="E167" s="41"/>
      <c r="F167" s="27" t="str">
        <f t="shared" si="1"/>
        <v/>
      </c>
    </row>
    <row r="168">
      <c r="A168" s="22"/>
      <c r="D168" s="40"/>
      <c r="E168" s="41"/>
      <c r="F168" s="27" t="str">
        <f t="shared" si="1"/>
        <v/>
      </c>
    </row>
    <row r="169">
      <c r="A169" s="22"/>
      <c r="D169" s="40"/>
      <c r="E169" s="41"/>
      <c r="F169" s="27" t="str">
        <f t="shared" si="1"/>
        <v/>
      </c>
    </row>
    <row r="170">
      <c r="A170" s="22"/>
      <c r="D170" s="40"/>
      <c r="E170" s="41"/>
      <c r="F170" s="27" t="str">
        <f t="shared" si="1"/>
        <v/>
      </c>
    </row>
    <row r="171">
      <c r="A171" s="22"/>
      <c r="D171" s="40"/>
      <c r="E171" s="41"/>
      <c r="F171" s="27" t="str">
        <f t="shared" si="1"/>
        <v/>
      </c>
    </row>
    <row r="172">
      <c r="A172" s="22"/>
      <c r="D172" s="40"/>
      <c r="E172" s="41"/>
      <c r="F172" s="27" t="str">
        <f t="shared" si="1"/>
        <v/>
      </c>
    </row>
    <row r="173">
      <c r="A173" s="22"/>
      <c r="D173" s="40"/>
      <c r="E173" s="41"/>
      <c r="F173" s="27" t="str">
        <f t="shared" si="1"/>
        <v/>
      </c>
    </row>
    <row r="174">
      <c r="A174" s="22"/>
      <c r="D174" s="40"/>
      <c r="E174" s="41"/>
      <c r="F174" s="27" t="str">
        <f t="shared" si="1"/>
        <v/>
      </c>
    </row>
    <row r="175">
      <c r="A175" s="22"/>
      <c r="D175" s="40"/>
      <c r="E175" s="41"/>
      <c r="F175" s="27" t="str">
        <f t="shared" si="1"/>
        <v/>
      </c>
    </row>
    <row r="176">
      <c r="A176" s="22"/>
      <c r="D176" s="40"/>
      <c r="E176" s="41"/>
      <c r="F176" s="27" t="str">
        <f t="shared" si="1"/>
        <v/>
      </c>
    </row>
    <row r="177">
      <c r="A177" s="22"/>
      <c r="D177" s="40"/>
      <c r="E177" s="41"/>
      <c r="F177" s="27" t="str">
        <f t="shared" si="1"/>
        <v/>
      </c>
    </row>
    <row r="178">
      <c r="A178" s="22"/>
      <c r="D178" s="40"/>
      <c r="E178" s="41"/>
      <c r="F178" s="27" t="str">
        <f t="shared" si="1"/>
        <v/>
      </c>
    </row>
    <row r="179">
      <c r="A179" s="22"/>
      <c r="D179" s="40"/>
      <c r="E179" s="41"/>
      <c r="F179" s="27" t="str">
        <f t="shared" si="1"/>
        <v/>
      </c>
    </row>
    <row r="180">
      <c r="A180" s="22"/>
      <c r="D180" s="40"/>
      <c r="E180" s="41"/>
      <c r="F180" s="27" t="str">
        <f t="shared" si="1"/>
        <v/>
      </c>
    </row>
    <row r="181">
      <c r="A181" s="22"/>
      <c r="D181" s="40"/>
      <c r="E181" s="41"/>
      <c r="F181" s="27" t="str">
        <f t="shared" si="1"/>
        <v/>
      </c>
    </row>
    <row r="182">
      <c r="A182" s="22"/>
      <c r="D182" s="40"/>
      <c r="E182" s="41"/>
      <c r="F182" s="27" t="str">
        <f t="shared" si="1"/>
        <v/>
      </c>
    </row>
    <row r="183">
      <c r="A183" s="22"/>
      <c r="D183" s="40"/>
      <c r="E183" s="41"/>
      <c r="F183" s="27" t="str">
        <f t="shared" si="1"/>
        <v/>
      </c>
    </row>
    <row r="184">
      <c r="A184" s="22"/>
      <c r="D184" s="40"/>
      <c r="E184" s="41"/>
      <c r="F184" s="27" t="str">
        <f t="shared" si="1"/>
        <v/>
      </c>
    </row>
    <row r="185">
      <c r="A185" s="22"/>
      <c r="D185" s="40"/>
      <c r="E185" s="41"/>
      <c r="F185" s="27" t="str">
        <f t="shared" si="1"/>
        <v/>
      </c>
    </row>
    <row r="186">
      <c r="A186" s="22"/>
      <c r="D186" s="40"/>
      <c r="E186" s="41"/>
      <c r="F186" s="27" t="str">
        <f t="shared" si="1"/>
        <v/>
      </c>
    </row>
    <row r="187">
      <c r="A187" s="22"/>
      <c r="D187" s="40"/>
      <c r="E187" s="41"/>
      <c r="F187" s="27" t="str">
        <f t="shared" si="1"/>
        <v/>
      </c>
    </row>
    <row r="188">
      <c r="A188" s="22"/>
      <c r="D188" s="40"/>
      <c r="E188" s="41"/>
      <c r="F188" s="27" t="str">
        <f t="shared" si="1"/>
        <v/>
      </c>
    </row>
    <row r="189">
      <c r="A189" s="22"/>
      <c r="D189" s="40"/>
      <c r="E189" s="41"/>
      <c r="F189" s="27" t="str">
        <f t="shared" si="1"/>
        <v/>
      </c>
    </row>
    <row r="190">
      <c r="A190" s="22"/>
      <c r="D190" s="40"/>
      <c r="E190" s="41"/>
      <c r="F190" s="27" t="str">
        <f t="shared" si="1"/>
        <v/>
      </c>
    </row>
    <row r="191">
      <c r="A191" s="22"/>
      <c r="D191" s="40"/>
      <c r="E191" s="41"/>
      <c r="F191" s="27" t="str">
        <f t="shared" si="1"/>
        <v/>
      </c>
    </row>
    <row r="192">
      <c r="A192" s="22"/>
      <c r="D192" s="40"/>
      <c r="E192" s="41"/>
      <c r="F192" s="27" t="str">
        <f t="shared" si="1"/>
        <v/>
      </c>
    </row>
    <row r="193">
      <c r="A193" s="22"/>
      <c r="D193" s="40"/>
      <c r="E193" s="41"/>
      <c r="F193" s="27" t="str">
        <f t="shared" si="1"/>
        <v/>
      </c>
    </row>
    <row r="194">
      <c r="A194" s="22"/>
      <c r="D194" s="40"/>
      <c r="E194" s="41"/>
      <c r="F194" s="27" t="str">
        <f t="shared" si="1"/>
        <v/>
      </c>
    </row>
    <row r="195">
      <c r="A195" s="22"/>
      <c r="D195" s="40"/>
      <c r="E195" s="41"/>
      <c r="F195" s="27" t="str">
        <f t="shared" si="1"/>
        <v/>
      </c>
    </row>
    <row r="196">
      <c r="A196" s="22"/>
      <c r="D196" s="40"/>
      <c r="E196" s="41"/>
      <c r="F196" s="27" t="str">
        <f t="shared" si="1"/>
        <v/>
      </c>
    </row>
    <row r="197">
      <c r="A197" s="22"/>
      <c r="D197" s="40"/>
      <c r="E197" s="41"/>
      <c r="F197" s="27" t="str">
        <f t="shared" si="1"/>
        <v/>
      </c>
    </row>
    <row r="198">
      <c r="A198" s="22"/>
      <c r="D198" s="40"/>
      <c r="E198" s="41"/>
      <c r="F198" s="27" t="str">
        <f t="shared" si="1"/>
        <v/>
      </c>
    </row>
    <row r="199">
      <c r="A199" s="22"/>
      <c r="D199" s="40"/>
      <c r="E199" s="41"/>
      <c r="F199" s="27" t="str">
        <f t="shared" si="1"/>
        <v/>
      </c>
    </row>
    <row r="200">
      <c r="A200" s="22"/>
      <c r="D200" s="40"/>
      <c r="E200" s="41"/>
      <c r="F200" s="27" t="str">
        <f t="shared" si="1"/>
        <v/>
      </c>
    </row>
    <row r="201">
      <c r="A201" s="22"/>
      <c r="D201" s="40"/>
      <c r="E201" s="41"/>
      <c r="F201" s="27" t="str">
        <f t="shared" si="1"/>
        <v/>
      </c>
    </row>
    <row r="202">
      <c r="A202" s="22"/>
      <c r="D202" s="40"/>
      <c r="E202" s="41"/>
      <c r="F202" s="27" t="str">
        <f t="shared" si="1"/>
        <v/>
      </c>
    </row>
    <row r="203">
      <c r="A203" s="22"/>
      <c r="D203" s="40"/>
      <c r="E203" s="41"/>
      <c r="F203" s="27" t="str">
        <f t="shared" si="1"/>
        <v/>
      </c>
    </row>
    <row r="204">
      <c r="A204" s="22"/>
      <c r="D204" s="40"/>
      <c r="E204" s="41"/>
      <c r="F204" s="27" t="str">
        <f t="shared" si="1"/>
        <v/>
      </c>
    </row>
    <row r="205">
      <c r="A205" s="22"/>
      <c r="D205" s="40"/>
      <c r="E205" s="41"/>
      <c r="F205" s="27" t="str">
        <f t="shared" si="1"/>
        <v/>
      </c>
    </row>
    <row r="206">
      <c r="A206" s="22"/>
      <c r="D206" s="40"/>
      <c r="E206" s="41"/>
      <c r="F206" s="27" t="str">
        <f t="shared" si="1"/>
        <v/>
      </c>
    </row>
    <row r="207">
      <c r="A207" s="22"/>
      <c r="D207" s="40"/>
      <c r="E207" s="41"/>
      <c r="F207" s="27" t="str">
        <f t="shared" si="1"/>
        <v/>
      </c>
    </row>
    <row r="208">
      <c r="A208" s="22"/>
      <c r="D208" s="40"/>
      <c r="E208" s="41"/>
      <c r="F208" s="27" t="str">
        <f t="shared" si="1"/>
        <v/>
      </c>
    </row>
    <row r="209">
      <c r="A209" s="22"/>
      <c r="D209" s="40"/>
      <c r="E209" s="41"/>
      <c r="F209" s="27" t="str">
        <f t="shared" si="1"/>
        <v/>
      </c>
    </row>
    <row r="210">
      <c r="A210" s="22"/>
      <c r="D210" s="40"/>
      <c r="E210" s="41"/>
      <c r="F210" s="27" t="str">
        <f t="shared" si="1"/>
        <v/>
      </c>
    </row>
    <row r="211">
      <c r="A211" s="22"/>
      <c r="D211" s="40"/>
      <c r="E211" s="41"/>
      <c r="F211" s="27" t="str">
        <f t="shared" si="1"/>
        <v/>
      </c>
    </row>
    <row r="212">
      <c r="A212" s="22"/>
      <c r="D212" s="40"/>
      <c r="E212" s="41"/>
      <c r="F212" s="27" t="str">
        <f t="shared" si="1"/>
        <v/>
      </c>
    </row>
    <row r="213">
      <c r="A213" s="22"/>
      <c r="D213" s="40"/>
      <c r="E213" s="41"/>
      <c r="F213" s="27" t="str">
        <f t="shared" si="1"/>
        <v/>
      </c>
    </row>
    <row r="214">
      <c r="A214" s="22"/>
      <c r="D214" s="40"/>
      <c r="E214" s="41"/>
      <c r="F214" s="27" t="str">
        <f t="shared" si="1"/>
        <v/>
      </c>
    </row>
    <row r="215">
      <c r="A215" s="22"/>
      <c r="D215" s="40"/>
      <c r="E215" s="41"/>
      <c r="F215" s="27" t="str">
        <f t="shared" si="1"/>
        <v/>
      </c>
    </row>
    <row r="216">
      <c r="A216" s="22"/>
      <c r="D216" s="40"/>
      <c r="E216" s="41"/>
      <c r="F216" s="27" t="str">
        <f t="shared" si="1"/>
        <v/>
      </c>
    </row>
    <row r="217">
      <c r="A217" s="22"/>
      <c r="D217" s="40"/>
      <c r="E217" s="41"/>
      <c r="F217" s="27" t="str">
        <f t="shared" si="1"/>
        <v/>
      </c>
    </row>
    <row r="218">
      <c r="A218" s="22"/>
      <c r="D218" s="40"/>
      <c r="E218" s="41"/>
      <c r="F218" s="27" t="str">
        <f t="shared" si="1"/>
        <v/>
      </c>
    </row>
    <row r="219">
      <c r="A219" s="22"/>
      <c r="D219" s="40"/>
      <c r="E219" s="41"/>
      <c r="F219" s="27" t="str">
        <f t="shared" si="1"/>
        <v/>
      </c>
    </row>
    <row r="220">
      <c r="A220" s="22"/>
      <c r="D220" s="40"/>
      <c r="E220" s="41"/>
      <c r="F220" s="27" t="str">
        <f t="shared" si="1"/>
        <v/>
      </c>
    </row>
    <row r="221">
      <c r="A221" s="22"/>
      <c r="D221" s="40"/>
      <c r="E221" s="41"/>
      <c r="F221" s="27" t="str">
        <f t="shared" si="1"/>
        <v/>
      </c>
    </row>
    <row r="222">
      <c r="A222" s="22"/>
      <c r="D222" s="40"/>
      <c r="E222" s="41"/>
      <c r="F222" s="27" t="str">
        <f t="shared" si="1"/>
        <v/>
      </c>
    </row>
    <row r="223">
      <c r="A223" s="22"/>
      <c r="D223" s="40"/>
      <c r="E223" s="41"/>
      <c r="F223" s="27" t="str">
        <f t="shared" si="1"/>
        <v/>
      </c>
    </row>
    <row r="224">
      <c r="A224" s="22"/>
      <c r="D224" s="40"/>
      <c r="E224" s="41"/>
      <c r="F224" s="27" t="str">
        <f t="shared" si="1"/>
        <v/>
      </c>
    </row>
    <row r="225">
      <c r="A225" s="22"/>
      <c r="D225" s="40"/>
      <c r="E225" s="41"/>
      <c r="F225" s="27" t="str">
        <f t="shared" si="1"/>
        <v/>
      </c>
    </row>
    <row r="226">
      <c r="A226" s="22"/>
      <c r="D226" s="40"/>
      <c r="E226" s="41"/>
      <c r="F226" s="27" t="str">
        <f t="shared" si="1"/>
        <v/>
      </c>
    </row>
    <row r="227">
      <c r="A227" s="22"/>
      <c r="D227" s="40"/>
      <c r="E227" s="41"/>
      <c r="F227" s="27" t="str">
        <f t="shared" si="1"/>
        <v/>
      </c>
    </row>
    <row r="228">
      <c r="A228" s="22"/>
      <c r="D228" s="40"/>
      <c r="E228" s="41"/>
      <c r="F228" s="27" t="str">
        <f t="shared" si="1"/>
        <v/>
      </c>
    </row>
    <row r="229">
      <c r="A229" s="22"/>
      <c r="D229" s="40"/>
      <c r="E229" s="41"/>
      <c r="F229" s="27" t="str">
        <f t="shared" si="1"/>
        <v/>
      </c>
    </row>
    <row r="230">
      <c r="A230" s="22"/>
      <c r="D230" s="40"/>
      <c r="E230" s="41"/>
      <c r="F230" s="27" t="str">
        <f t="shared" si="1"/>
        <v/>
      </c>
    </row>
    <row r="231">
      <c r="A231" s="22"/>
      <c r="D231" s="40"/>
      <c r="E231" s="41"/>
      <c r="F231" s="27" t="str">
        <f t="shared" si="1"/>
        <v/>
      </c>
    </row>
    <row r="232">
      <c r="A232" s="22"/>
      <c r="D232" s="40"/>
      <c r="E232" s="41"/>
      <c r="F232" s="27" t="str">
        <f t="shared" si="1"/>
        <v/>
      </c>
    </row>
    <row r="233">
      <c r="A233" s="22"/>
      <c r="D233" s="40"/>
      <c r="E233" s="41"/>
      <c r="F233" s="27" t="str">
        <f t="shared" si="1"/>
        <v/>
      </c>
    </row>
    <row r="234">
      <c r="A234" s="22"/>
      <c r="D234" s="40"/>
      <c r="E234" s="41"/>
      <c r="F234" s="27" t="str">
        <f t="shared" si="1"/>
        <v/>
      </c>
    </row>
    <row r="235">
      <c r="A235" s="22"/>
      <c r="D235" s="40"/>
      <c r="E235" s="41"/>
      <c r="F235" s="27" t="str">
        <f t="shared" si="1"/>
        <v/>
      </c>
    </row>
    <row r="236">
      <c r="A236" s="22"/>
      <c r="D236" s="40"/>
      <c r="E236" s="41"/>
      <c r="F236" s="27" t="str">
        <f t="shared" si="1"/>
        <v/>
      </c>
    </row>
    <row r="237">
      <c r="A237" s="22"/>
      <c r="D237" s="40"/>
      <c r="E237" s="41"/>
      <c r="F237" s="27" t="str">
        <f t="shared" si="1"/>
        <v/>
      </c>
    </row>
    <row r="238">
      <c r="A238" s="22"/>
      <c r="D238" s="40"/>
      <c r="E238" s="41"/>
      <c r="F238" s="27" t="str">
        <f t="shared" si="1"/>
        <v/>
      </c>
    </row>
    <row r="239">
      <c r="A239" s="22"/>
      <c r="D239" s="40"/>
      <c r="E239" s="41"/>
      <c r="F239" s="27" t="str">
        <f t="shared" si="1"/>
        <v/>
      </c>
    </row>
    <row r="240">
      <c r="A240" s="22"/>
      <c r="D240" s="40"/>
      <c r="E240" s="41"/>
      <c r="F240" s="27" t="str">
        <f t="shared" si="1"/>
        <v/>
      </c>
    </row>
    <row r="241">
      <c r="A241" s="22"/>
      <c r="D241" s="40"/>
      <c r="E241" s="41"/>
      <c r="F241" s="27" t="str">
        <f t="shared" si="1"/>
        <v/>
      </c>
    </row>
    <row r="242">
      <c r="A242" s="22"/>
      <c r="D242" s="40"/>
      <c r="E242" s="41"/>
      <c r="F242" s="27" t="str">
        <f t="shared" si="1"/>
        <v/>
      </c>
    </row>
    <row r="243">
      <c r="A243" s="22"/>
      <c r="D243" s="40"/>
      <c r="E243" s="41"/>
      <c r="F243" s="27" t="str">
        <f t="shared" si="1"/>
        <v/>
      </c>
    </row>
    <row r="244">
      <c r="A244" s="22"/>
      <c r="D244" s="40"/>
      <c r="E244" s="41"/>
      <c r="F244" s="27" t="str">
        <f t="shared" si="1"/>
        <v/>
      </c>
    </row>
    <row r="245">
      <c r="A245" s="22"/>
      <c r="D245" s="40"/>
      <c r="E245" s="41"/>
      <c r="F245" s="27" t="str">
        <f t="shared" si="1"/>
        <v/>
      </c>
    </row>
    <row r="246">
      <c r="A246" s="22"/>
      <c r="D246" s="40"/>
      <c r="E246" s="41"/>
      <c r="F246" s="27" t="str">
        <f t="shared" si="1"/>
        <v/>
      </c>
    </row>
    <row r="247">
      <c r="A247" s="22"/>
      <c r="D247" s="40"/>
      <c r="E247" s="41"/>
      <c r="F247" s="27" t="str">
        <f t="shared" si="1"/>
        <v/>
      </c>
    </row>
    <row r="248">
      <c r="A248" s="22"/>
      <c r="D248" s="40"/>
      <c r="E248" s="41"/>
      <c r="F248" s="27" t="str">
        <f t="shared" si="1"/>
        <v/>
      </c>
    </row>
    <row r="249">
      <c r="A249" s="22"/>
      <c r="D249" s="40"/>
      <c r="E249" s="41"/>
      <c r="F249" s="27" t="str">
        <f t="shared" si="1"/>
        <v/>
      </c>
    </row>
    <row r="250">
      <c r="A250" s="22"/>
      <c r="D250" s="40"/>
      <c r="E250" s="41"/>
      <c r="F250" s="27" t="str">
        <f t="shared" si="1"/>
        <v/>
      </c>
    </row>
    <row r="251">
      <c r="A251" s="22"/>
      <c r="D251" s="40"/>
      <c r="E251" s="41"/>
      <c r="F251" s="27" t="str">
        <f t="shared" si="1"/>
        <v/>
      </c>
    </row>
    <row r="252">
      <c r="A252" s="22"/>
      <c r="D252" s="40"/>
      <c r="E252" s="41"/>
      <c r="F252" s="27" t="str">
        <f t="shared" si="1"/>
        <v/>
      </c>
    </row>
    <row r="253">
      <c r="A253" s="22"/>
      <c r="D253" s="40"/>
      <c r="E253" s="41"/>
      <c r="F253" s="27" t="str">
        <f t="shared" si="1"/>
        <v/>
      </c>
    </row>
    <row r="254">
      <c r="A254" s="22"/>
      <c r="D254" s="40"/>
      <c r="E254" s="41"/>
      <c r="F254" s="27" t="str">
        <f t="shared" si="1"/>
        <v/>
      </c>
    </row>
    <row r="255">
      <c r="A255" s="22"/>
      <c r="D255" s="40"/>
      <c r="E255" s="41"/>
      <c r="F255" s="27" t="str">
        <f t="shared" si="1"/>
        <v/>
      </c>
    </row>
    <row r="256">
      <c r="A256" s="22"/>
      <c r="D256" s="40"/>
      <c r="E256" s="41"/>
      <c r="F256" s="27" t="str">
        <f t="shared" si="1"/>
        <v/>
      </c>
    </row>
    <row r="257">
      <c r="A257" s="22"/>
      <c r="D257" s="40"/>
      <c r="E257" s="41"/>
      <c r="F257" s="27" t="str">
        <f t="shared" si="1"/>
        <v/>
      </c>
    </row>
    <row r="258">
      <c r="A258" s="22"/>
      <c r="D258" s="40"/>
      <c r="E258" s="41"/>
      <c r="F258" s="27" t="str">
        <f t="shared" si="1"/>
        <v/>
      </c>
    </row>
    <row r="259">
      <c r="A259" s="22"/>
      <c r="D259" s="40"/>
      <c r="E259" s="41"/>
      <c r="F259" s="27" t="str">
        <f t="shared" si="1"/>
        <v/>
      </c>
    </row>
    <row r="260">
      <c r="A260" s="22"/>
      <c r="D260" s="40"/>
      <c r="E260" s="41"/>
      <c r="F260" s="27" t="str">
        <f t="shared" si="1"/>
        <v/>
      </c>
    </row>
    <row r="261">
      <c r="A261" s="22"/>
      <c r="D261" s="40"/>
      <c r="E261" s="41"/>
      <c r="F261" s="27" t="str">
        <f t="shared" si="1"/>
        <v/>
      </c>
    </row>
    <row r="262">
      <c r="A262" s="22"/>
      <c r="D262" s="40"/>
      <c r="E262" s="41"/>
      <c r="F262" s="27" t="str">
        <f t="shared" si="1"/>
        <v/>
      </c>
    </row>
    <row r="263">
      <c r="A263" s="22"/>
      <c r="D263" s="40"/>
      <c r="E263" s="41"/>
      <c r="F263" s="27" t="str">
        <f t="shared" si="1"/>
        <v/>
      </c>
    </row>
    <row r="264">
      <c r="A264" s="22"/>
      <c r="D264" s="40"/>
      <c r="E264" s="41"/>
      <c r="F264" s="27" t="str">
        <f t="shared" si="1"/>
        <v/>
      </c>
    </row>
    <row r="265">
      <c r="A265" s="22"/>
      <c r="D265" s="40"/>
      <c r="E265" s="41"/>
      <c r="F265" s="27" t="str">
        <f t="shared" si="1"/>
        <v/>
      </c>
    </row>
    <row r="266">
      <c r="A266" s="22"/>
      <c r="D266" s="40"/>
      <c r="E266" s="41"/>
      <c r="F266" s="27" t="str">
        <f t="shared" si="1"/>
        <v/>
      </c>
    </row>
    <row r="267">
      <c r="A267" s="22"/>
      <c r="D267" s="40"/>
      <c r="E267" s="41"/>
      <c r="F267" s="27" t="str">
        <f t="shared" si="1"/>
        <v/>
      </c>
    </row>
    <row r="268">
      <c r="A268" s="22"/>
      <c r="D268" s="40"/>
      <c r="E268" s="41"/>
      <c r="F268" s="27" t="str">
        <f t="shared" si="1"/>
        <v/>
      </c>
    </row>
    <row r="269">
      <c r="A269" s="22"/>
      <c r="D269" s="40"/>
      <c r="E269" s="41"/>
      <c r="F269" s="27" t="str">
        <f t="shared" si="1"/>
        <v/>
      </c>
    </row>
    <row r="270">
      <c r="A270" s="22"/>
      <c r="D270" s="40"/>
      <c r="E270" s="41"/>
      <c r="F270" s="27" t="str">
        <f t="shared" si="1"/>
        <v/>
      </c>
    </row>
    <row r="271">
      <c r="A271" s="22"/>
      <c r="D271" s="40"/>
      <c r="E271" s="41"/>
      <c r="F271" s="27" t="str">
        <f t="shared" si="1"/>
        <v/>
      </c>
    </row>
    <row r="272">
      <c r="A272" s="22"/>
      <c r="D272" s="40"/>
      <c r="E272" s="41"/>
      <c r="F272" s="27" t="str">
        <f t="shared" si="1"/>
        <v/>
      </c>
    </row>
    <row r="273">
      <c r="A273" s="22"/>
      <c r="D273" s="40"/>
      <c r="E273" s="41"/>
      <c r="F273" s="27" t="str">
        <f t="shared" si="1"/>
        <v/>
      </c>
    </row>
    <row r="274">
      <c r="A274" s="22"/>
      <c r="D274" s="40"/>
      <c r="E274" s="41"/>
      <c r="F274" s="27" t="str">
        <f t="shared" si="1"/>
        <v/>
      </c>
    </row>
    <row r="275">
      <c r="A275" s="22"/>
      <c r="D275" s="40"/>
      <c r="E275" s="41"/>
      <c r="F275" s="27" t="str">
        <f t="shared" si="1"/>
        <v/>
      </c>
    </row>
    <row r="276">
      <c r="A276" s="22"/>
      <c r="D276" s="40"/>
      <c r="E276" s="41"/>
      <c r="F276" s="27" t="str">
        <f t="shared" si="1"/>
        <v/>
      </c>
    </row>
    <row r="277">
      <c r="A277" s="22"/>
      <c r="D277" s="40"/>
      <c r="E277" s="41"/>
      <c r="F277" s="27" t="str">
        <f t="shared" si="1"/>
        <v/>
      </c>
    </row>
    <row r="278">
      <c r="A278" s="22"/>
      <c r="D278" s="40"/>
      <c r="E278" s="41"/>
      <c r="F278" s="27" t="str">
        <f t="shared" si="1"/>
        <v/>
      </c>
    </row>
    <row r="279">
      <c r="A279" s="22"/>
      <c r="D279" s="40"/>
      <c r="E279" s="41"/>
      <c r="F279" s="27" t="str">
        <f t="shared" si="1"/>
        <v/>
      </c>
    </row>
    <row r="280">
      <c r="A280" s="22"/>
      <c r="D280" s="40"/>
      <c r="E280" s="41"/>
      <c r="F280" s="27" t="str">
        <f t="shared" si="1"/>
        <v/>
      </c>
    </row>
    <row r="281">
      <c r="A281" s="22"/>
      <c r="D281" s="40"/>
      <c r="E281" s="41"/>
      <c r="F281" s="27" t="str">
        <f t="shared" si="1"/>
        <v/>
      </c>
    </row>
    <row r="282">
      <c r="A282" s="22"/>
      <c r="D282" s="40"/>
      <c r="E282" s="41"/>
      <c r="F282" s="27" t="str">
        <f t="shared" si="1"/>
        <v/>
      </c>
    </row>
    <row r="283">
      <c r="A283" s="22"/>
      <c r="D283" s="40"/>
      <c r="E283" s="41"/>
      <c r="F283" s="27" t="str">
        <f t="shared" si="1"/>
        <v/>
      </c>
    </row>
    <row r="284">
      <c r="A284" s="22"/>
      <c r="D284" s="40"/>
      <c r="E284" s="41"/>
      <c r="F284" s="27" t="str">
        <f t="shared" si="1"/>
        <v/>
      </c>
    </row>
    <row r="285">
      <c r="A285" s="22"/>
      <c r="D285" s="40"/>
      <c r="E285" s="41"/>
      <c r="F285" s="27" t="str">
        <f t="shared" si="1"/>
        <v/>
      </c>
    </row>
    <row r="286">
      <c r="A286" s="22"/>
      <c r="D286" s="40"/>
      <c r="E286" s="41"/>
      <c r="F286" s="27" t="str">
        <f t="shared" si="1"/>
        <v/>
      </c>
    </row>
    <row r="287">
      <c r="A287" s="22"/>
      <c r="D287" s="40"/>
      <c r="E287" s="41"/>
      <c r="F287" s="27" t="str">
        <f t="shared" si="1"/>
        <v/>
      </c>
    </row>
    <row r="288">
      <c r="A288" s="22"/>
      <c r="D288" s="40"/>
      <c r="E288" s="41"/>
      <c r="F288" s="27" t="str">
        <f t="shared" si="1"/>
        <v/>
      </c>
    </row>
    <row r="289">
      <c r="A289" s="22"/>
      <c r="D289" s="40"/>
      <c r="E289" s="41"/>
      <c r="F289" s="27" t="str">
        <f t="shared" si="1"/>
        <v/>
      </c>
    </row>
    <row r="290">
      <c r="A290" s="22"/>
      <c r="D290" s="40"/>
      <c r="E290" s="41"/>
      <c r="F290" s="27" t="str">
        <f t="shared" si="1"/>
        <v/>
      </c>
    </row>
    <row r="291">
      <c r="A291" s="22"/>
      <c r="D291" s="40"/>
      <c r="E291" s="41"/>
      <c r="F291" s="27" t="str">
        <f t="shared" si="1"/>
        <v/>
      </c>
    </row>
    <row r="292">
      <c r="A292" s="22"/>
      <c r="D292" s="40"/>
      <c r="E292" s="41"/>
      <c r="F292" s="27" t="str">
        <f t="shared" si="1"/>
        <v/>
      </c>
    </row>
    <row r="293">
      <c r="A293" s="22"/>
      <c r="D293" s="40"/>
      <c r="E293" s="41"/>
      <c r="F293" s="27" t="str">
        <f t="shared" si="1"/>
        <v/>
      </c>
    </row>
    <row r="294">
      <c r="A294" s="22"/>
      <c r="D294" s="40"/>
      <c r="E294" s="41"/>
      <c r="F294" s="27" t="str">
        <f t="shared" si="1"/>
        <v/>
      </c>
    </row>
    <row r="295">
      <c r="A295" s="22"/>
      <c r="D295" s="40"/>
      <c r="E295" s="41"/>
      <c r="F295" s="27" t="str">
        <f t="shared" si="1"/>
        <v/>
      </c>
    </row>
    <row r="296">
      <c r="A296" s="22"/>
      <c r="D296" s="40"/>
      <c r="E296" s="41"/>
      <c r="F296" s="27" t="str">
        <f t="shared" si="1"/>
        <v/>
      </c>
    </row>
    <row r="297">
      <c r="A297" s="22"/>
      <c r="D297" s="40"/>
      <c r="E297" s="41"/>
      <c r="F297" s="27" t="str">
        <f t="shared" si="1"/>
        <v/>
      </c>
    </row>
    <row r="298">
      <c r="A298" s="22"/>
      <c r="D298" s="40"/>
      <c r="E298" s="41"/>
      <c r="F298" s="27" t="str">
        <f t="shared" si="1"/>
        <v/>
      </c>
    </row>
    <row r="299">
      <c r="A299" s="22"/>
      <c r="D299" s="40"/>
      <c r="E299" s="41"/>
      <c r="F299" s="27" t="str">
        <f t="shared" si="1"/>
        <v/>
      </c>
    </row>
    <row r="300">
      <c r="A300" s="22"/>
      <c r="D300" s="40"/>
      <c r="E300" s="41"/>
      <c r="F300" s="27" t="str">
        <f t="shared" si="1"/>
        <v/>
      </c>
    </row>
    <row r="301">
      <c r="A301" s="22"/>
      <c r="D301" s="40"/>
      <c r="E301" s="41"/>
      <c r="F301" s="27" t="str">
        <f t="shared" si="1"/>
        <v/>
      </c>
    </row>
    <row r="302">
      <c r="A302" s="22"/>
      <c r="D302" s="40"/>
      <c r="E302" s="41"/>
      <c r="F302" s="27" t="str">
        <f t="shared" si="1"/>
        <v/>
      </c>
    </row>
    <row r="303">
      <c r="A303" s="22"/>
      <c r="D303" s="40"/>
      <c r="E303" s="41"/>
      <c r="F303" s="27" t="str">
        <f t="shared" si="1"/>
        <v/>
      </c>
    </row>
    <row r="304">
      <c r="A304" s="22"/>
      <c r="D304" s="40"/>
      <c r="E304" s="41"/>
      <c r="F304" s="27" t="str">
        <f t="shared" si="1"/>
        <v/>
      </c>
    </row>
    <row r="305">
      <c r="A305" s="22"/>
      <c r="D305" s="40"/>
      <c r="E305" s="41"/>
      <c r="F305" s="27" t="str">
        <f t="shared" si="1"/>
        <v/>
      </c>
    </row>
    <row r="306">
      <c r="A306" s="22"/>
      <c r="D306" s="40"/>
      <c r="E306" s="41"/>
      <c r="F306" s="27" t="str">
        <f t="shared" si="1"/>
        <v/>
      </c>
    </row>
    <row r="307">
      <c r="A307" s="22"/>
      <c r="D307" s="40"/>
      <c r="E307" s="41"/>
      <c r="F307" s="27" t="str">
        <f t="shared" si="1"/>
        <v/>
      </c>
    </row>
    <row r="308">
      <c r="A308" s="22"/>
      <c r="D308" s="40"/>
      <c r="E308" s="41"/>
      <c r="F308" s="27" t="str">
        <f t="shared" si="1"/>
        <v/>
      </c>
    </row>
    <row r="309">
      <c r="A309" s="22"/>
      <c r="D309" s="40"/>
      <c r="E309" s="41"/>
      <c r="F309" s="27" t="str">
        <f t="shared" si="1"/>
        <v/>
      </c>
    </row>
    <row r="310">
      <c r="A310" s="22"/>
      <c r="D310" s="40"/>
      <c r="E310" s="41"/>
      <c r="F310" s="27" t="str">
        <f t="shared" si="1"/>
        <v/>
      </c>
    </row>
    <row r="311">
      <c r="A311" s="22"/>
      <c r="D311" s="40"/>
      <c r="E311" s="41"/>
      <c r="F311" s="27" t="str">
        <f t="shared" si="1"/>
        <v/>
      </c>
    </row>
    <row r="312">
      <c r="A312" s="22"/>
      <c r="D312" s="40"/>
      <c r="E312" s="41"/>
      <c r="F312" s="27" t="str">
        <f t="shared" si="1"/>
        <v/>
      </c>
    </row>
    <row r="313">
      <c r="A313" s="22"/>
      <c r="D313" s="40"/>
      <c r="E313" s="41"/>
      <c r="F313" s="27" t="str">
        <f t="shared" si="1"/>
        <v/>
      </c>
    </row>
    <row r="314">
      <c r="A314" s="22"/>
      <c r="D314" s="40"/>
      <c r="E314" s="41"/>
      <c r="F314" s="27" t="str">
        <f t="shared" si="1"/>
        <v/>
      </c>
    </row>
    <row r="315">
      <c r="A315" s="22"/>
      <c r="D315" s="40"/>
      <c r="E315" s="41"/>
      <c r="F315" s="27" t="str">
        <f t="shared" si="1"/>
        <v/>
      </c>
    </row>
    <row r="316">
      <c r="A316" s="22"/>
      <c r="D316" s="40"/>
      <c r="E316" s="41"/>
      <c r="F316" s="27" t="str">
        <f t="shared" si="1"/>
        <v/>
      </c>
    </row>
    <row r="317">
      <c r="A317" s="22"/>
      <c r="D317" s="40"/>
      <c r="E317" s="41"/>
      <c r="F317" s="27" t="str">
        <f t="shared" si="1"/>
        <v/>
      </c>
    </row>
    <row r="318">
      <c r="A318" s="22"/>
      <c r="D318" s="40"/>
      <c r="E318" s="41"/>
      <c r="F318" s="27" t="str">
        <f t="shared" si="1"/>
        <v/>
      </c>
    </row>
    <row r="319">
      <c r="A319" s="22"/>
      <c r="D319" s="40"/>
      <c r="E319" s="41"/>
      <c r="F319" s="27" t="str">
        <f t="shared" si="1"/>
        <v/>
      </c>
    </row>
    <row r="320">
      <c r="A320" s="22"/>
      <c r="D320" s="40"/>
      <c r="E320" s="41"/>
      <c r="F320" s="27" t="str">
        <f t="shared" si="1"/>
        <v/>
      </c>
    </row>
    <row r="321">
      <c r="A321" s="22"/>
      <c r="D321" s="40"/>
      <c r="E321" s="41"/>
      <c r="F321" s="27" t="str">
        <f t="shared" si="1"/>
        <v/>
      </c>
    </row>
    <row r="322">
      <c r="A322" s="22"/>
      <c r="D322" s="40"/>
      <c r="E322" s="41"/>
      <c r="F322" s="27" t="str">
        <f t="shared" si="1"/>
        <v/>
      </c>
    </row>
    <row r="323">
      <c r="A323" s="22"/>
      <c r="D323" s="40"/>
      <c r="E323" s="41"/>
      <c r="F323" s="27" t="str">
        <f t="shared" si="1"/>
        <v/>
      </c>
    </row>
    <row r="324">
      <c r="A324" s="22"/>
      <c r="D324" s="40"/>
      <c r="E324" s="41"/>
      <c r="F324" s="27" t="str">
        <f t="shared" si="1"/>
        <v/>
      </c>
    </row>
    <row r="325">
      <c r="A325" s="22"/>
      <c r="D325" s="40"/>
      <c r="E325" s="41"/>
      <c r="F325" s="27" t="str">
        <f t="shared" si="1"/>
        <v/>
      </c>
    </row>
    <row r="326">
      <c r="A326" s="22"/>
      <c r="D326" s="40"/>
      <c r="E326" s="41"/>
      <c r="F326" s="27" t="str">
        <f t="shared" si="1"/>
        <v/>
      </c>
    </row>
    <row r="327">
      <c r="A327" s="22"/>
      <c r="D327" s="40"/>
      <c r="E327" s="41"/>
      <c r="F327" s="27" t="str">
        <f t="shared" si="1"/>
        <v/>
      </c>
    </row>
    <row r="328">
      <c r="A328" s="22"/>
      <c r="D328" s="40"/>
      <c r="E328" s="41"/>
      <c r="F328" s="27" t="str">
        <f t="shared" si="1"/>
        <v/>
      </c>
    </row>
    <row r="329">
      <c r="A329" s="22"/>
      <c r="D329" s="40"/>
      <c r="E329" s="41"/>
      <c r="F329" s="27" t="str">
        <f t="shared" si="1"/>
        <v/>
      </c>
    </row>
    <row r="330">
      <c r="A330" s="22"/>
      <c r="D330" s="40"/>
      <c r="E330" s="41"/>
      <c r="F330" s="27" t="str">
        <f t="shared" si="1"/>
        <v/>
      </c>
    </row>
    <row r="331">
      <c r="A331" s="22"/>
      <c r="D331" s="40"/>
      <c r="E331" s="41"/>
      <c r="F331" s="27" t="str">
        <f t="shared" si="1"/>
        <v/>
      </c>
    </row>
    <row r="332">
      <c r="A332" s="22"/>
      <c r="D332" s="40"/>
      <c r="E332" s="41"/>
      <c r="F332" s="27" t="str">
        <f t="shared" si="1"/>
        <v/>
      </c>
    </row>
    <row r="333">
      <c r="A333" s="22"/>
      <c r="D333" s="40"/>
      <c r="E333" s="41"/>
      <c r="F333" s="27" t="str">
        <f t="shared" si="1"/>
        <v/>
      </c>
    </row>
    <row r="334">
      <c r="A334" s="22"/>
      <c r="D334" s="40"/>
      <c r="E334" s="41"/>
      <c r="F334" s="27" t="str">
        <f t="shared" si="1"/>
        <v/>
      </c>
    </row>
    <row r="335">
      <c r="A335" s="22"/>
      <c r="D335" s="40"/>
      <c r="E335" s="41"/>
      <c r="F335" s="27" t="str">
        <f t="shared" si="1"/>
        <v/>
      </c>
    </row>
    <row r="336">
      <c r="A336" s="22"/>
      <c r="D336" s="40"/>
      <c r="E336" s="41"/>
      <c r="F336" s="27" t="str">
        <f t="shared" si="1"/>
        <v/>
      </c>
    </row>
    <row r="337">
      <c r="A337" s="22"/>
      <c r="D337" s="40"/>
      <c r="E337" s="41"/>
      <c r="F337" s="27" t="str">
        <f t="shared" si="1"/>
        <v/>
      </c>
    </row>
    <row r="338">
      <c r="A338" s="22"/>
      <c r="D338" s="40"/>
      <c r="E338" s="41"/>
      <c r="F338" s="27" t="str">
        <f t="shared" si="1"/>
        <v/>
      </c>
    </row>
    <row r="339">
      <c r="A339" s="22"/>
      <c r="D339" s="40"/>
      <c r="E339" s="41"/>
      <c r="F339" s="27" t="str">
        <f t="shared" si="1"/>
        <v/>
      </c>
    </row>
    <row r="340">
      <c r="A340" s="22"/>
      <c r="D340" s="40"/>
      <c r="E340" s="41"/>
      <c r="F340" s="27" t="str">
        <f t="shared" si="1"/>
        <v/>
      </c>
    </row>
    <row r="341">
      <c r="A341" s="22"/>
      <c r="D341" s="40"/>
      <c r="E341" s="41"/>
      <c r="F341" s="27" t="str">
        <f t="shared" si="1"/>
        <v/>
      </c>
    </row>
    <row r="342">
      <c r="A342" s="22"/>
      <c r="D342" s="40"/>
      <c r="E342" s="41"/>
      <c r="F342" s="27" t="str">
        <f t="shared" si="1"/>
        <v/>
      </c>
    </row>
    <row r="343">
      <c r="A343" s="22"/>
      <c r="D343" s="40"/>
      <c r="E343" s="41"/>
      <c r="F343" s="27" t="str">
        <f t="shared" si="1"/>
        <v/>
      </c>
    </row>
    <row r="344">
      <c r="A344" s="22"/>
      <c r="D344" s="40"/>
      <c r="E344" s="41"/>
      <c r="F344" s="27" t="str">
        <f t="shared" si="1"/>
        <v/>
      </c>
    </row>
    <row r="345">
      <c r="A345" s="22"/>
      <c r="D345" s="40"/>
      <c r="E345" s="41"/>
      <c r="F345" s="27" t="str">
        <f t="shared" si="1"/>
        <v/>
      </c>
    </row>
    <row r="346">
      <c r="A346" s="22"/>
      <c r="D346" s="40"/>
      <c r="E346" s="41"/>
      <c r="F346" s="27" t="str">
        <f t="shared" si="1"/>
        <v/>
      </c>
    </row>
    <row r="347">
      <c r="A347" s="22"/>
      <c r="D347" s="40"/>
      <c r="E347" s="41"/>
      <c r="F347" s="27" t="str">
        <f t="shared" si="1"/>
        <v/>
      </c>
    </row>
    <row r="348">
      <c r="A348" s="22"/>
      <c r="D348" s="40"/>
      <c r="E348" s="41"/>
      <c r="F348" s="27" t="str">
        <f t="shared" si="1"/>
        <v/>
      </c>
    </row>
    <row r="349">
      <c r="A349" s="22"/>
      <c r="D349" s="40"/>
      <c r="E349" s="41"/>
      <c r="F349" s="27" t="str">
        <f t="shared" si="1"/>
        <v/>
      </c>
    </row>
    <row r="350">
      <c r="A350" s="22"/>
      <c r="D350" s="40"/>
      <c r="E350" s="41"/>
      <c r="F350" s="27" t="str">
        <f t="shared" si="1"/>
        <v/>
      </c>
    </row>
    <row r="351">
      <c r="A351" s="22"/>
      <c r="D351" s="40"/>
      <c r="E351" s="41"/>
      <c r="F351" s="27" t="str">
        <f t="shared" si="1"/>
        <v/>
      </c>
    </row>
    <row r="352">
      <c r="A352" s="22"/>
      <c r="D352" s="40"/>
      <c r="E352" s="41"/>
      <c r="F352" s="27" t="str">
        <f t="shared" si="1"/>
        <v/>
      </c>
    </row>
    <row r="353">
      <c r="A353" s="22"/>
      <c r="D353" s="40"/>
      <c r="E353" s="41"/>
      <c r="F353" s="27" t="str">
        <f t="shared" si="1"/>
        <v/>
      </c>
    </row>
    <row r="354">
      <c r="A354" s="22"/>
      <c r="D354" s="40"/>
      <c r="E354" s="41"/>
      <c r="F354" s="27" t="str">
        <f t="shared" si="1"/>
        <v/>
      </c>
    </row>
    <row r="355">
      <c r="A355" s="22"/>
      <c r="D355" s="40"/>
      <c r="E355" s="41"/>
      <c r="F355" s="27" t="str">
        <f t="shared" si="1"/>
        <v/>
      </c>
    </row>
    <row r="356">
      <c r="A356" s="22"/>
      <c r="D356" s="40"/>
      <c r="E356" s="41"/>
      <c r="F356" s="27" t="str">
        <f t="shared" si="1"/>
        <v/>
      </c>
    </row>
    <row r="357">
      <c r="A357" s="22"/>
      <c r="D357" s="40"/>
      <c r="E357" s="41"/>
      <c r="F357" s="27" t="str">
        <f t="shared" si="1"/>
        <v/>
      </c>
    </row>
    <row r="358">
      <c r="A358" s="22"/>
      <c r="D358" s="40"/>
      <c r="E358" s="41"/>
      <c r="F358" s="27" t="str">
        <f t="shared" si="1"/>
        <v/>
      </c>
    </row>
    <row r="359">
      <c r="A359" s="22"/>
      <c r="D359" s="40"/>
      <c r="E359" s="41"/>
      <c r="F359" s="27" t="str">
        <f t="shared" si="1"/>
        <v/>
      </c>
    </row>
    <row r="360">
      <c r="A360" s="22"/>
      <c r="D360" s="40"/>
      <c r="E360" s="41"/>
      <c r="F360" s="27" t="str">
        <f t="shared" si="1"/>
        <v/>
      </c>
    </row>
    <row r="361">
      <c r="A361" s="22"/>
      <c r="D361" s="40"/>
      <c r="E361" s="41"/>
      <c r="F361" s="27" t="str">
        <f t="shared" si="1"/>
        <v/>
      </c>
    </row>
    <row r="362">
      <c r="A362" s="22"/>
      <c r="D362" s="40"/>
      <c r="E362" s="41"/>
      <c r="F362" s="27" t="str">
        <f t="shared" si="1"/>
        <v/>
      </c>
    </row>
    <row r="363">
      <c r="A363" s="22"/>
      <c r="D363" s="40"/>
      <c r="E363" s="41"/>
      <c r="F363" s="27" t="str">
        <f t="shared" si="1"/>
        <v/>
      </c>
    </row>
    <row r="364">
      <c r="A364" s="22"/>
      <c r="D364" s="40"/>
      <c r="E364" s="41"/>
      <c r="F364" s="27" t="str">
        <f t="shared" si="1"/>
        <v/>
      </c>
    </row>
    <row r="365">
      <c r="A365" s="22"/>
      <c r="D365" s="40"/>
      <c r="E365" s="41"/>
      <c r="F365" s="27" t="str">
        <f t="shared" si="1"/>
        <v/>
      </c>
    </row>
    <row r="366">
      <c r="A366" s="22"/>
      <c r="D366" s="40"/>
      <c r="E366" s="41"/>
      <c r="F366" s="27" t="str">
        <f t="shared" si="1"/>
        <v/>
      </c>
    </row>
    <row r="367">
      <c r="A367" s="22"/>
      <c r="D367" s="40"/>
      <c r="E367" s="41"/>
      <c r="F367" s="27" t="str">
        <f t="shared" si="1"/>
        <v/>
      </c>
    </row>
    <row r="368">
      <c r="A368" s="22"/>
      <c r="D368" s="40"/>
      <c r="E368" s="41"/>
      <c r="F368" s="27" t="str">
        <f t="shared" si="1"/>
        <v/>
      </c>
    </row>
    <row r="369">
      <c r="A369" s="22"/>
      <c r="D369" s="40"/>
      <c r="E369" s="41"/>
      <c r="F369" s="27" t="str">
        <f t="shared" si="1"/>
        <v/>
      </c>
    </row>
    <row r="370">
      <c r="A370" s="22"/>
      <c r="D370" s="40"/>
      <c r="E370" s="41"/>
      <c r="F370" s="27" t="str">
        <f t="shared" si="1"/>
        <v/>
      </c>
    </row>
    <row r="371">
      <c r="A371" s="22"/>
      <c r="D371" s="40"/>
      <c r="E371" s="41"/>
      <c r="F371" s="27" t="str">
        <f t="shared" si="1"/>
        <v/>
      </c>
    </row>
    <row r="372">
      <c r="A372" s="22"/>
      <c r="D372" s="40"/>
      <c r="E372" s="41"/>
      <c r="F372" s="27" t="str">
        <f t="shared" si="1"/>
        <v/>
      </c>
    </row>
    <row r="373">
      <c r="A373" s="22"/>
      <c r="D373" s="40"/>
      <c r="E373" s="41"/>
      <c r="F373" s="27" t="str">
        <f t="shared" si="1"/>
        <v/>
      </c>
    </row>
    <row r="374">
      <c r="A374" s="22"/>
      <c r="D374" s="40"/>
      <c r="E374" s="41"/>
      <c r="F374" s="27" t="str">
        <f t="shared" si="1"/>
        <v/>
      </c>
    </row>
    <row r="375">
      <c r="A375" s="22"/>
      <c r="D375" s="40"/>
      <c r="E375" s="41"/>
      <c r="F375" s="27" t="str">
        <f t="shared" si="1"/>
        <v/>
      </c>
    </row>
    <row r="376">
      <c r="A376" s="22"/>
      <c r="D376" s="40"/>
      <c r="E376" s="41"/>
      <c r="F376" s="27" t="str">
        <f t="shared" si="1"/>
        <v/>
      </c>
    </row>
    <row r="377">
      <c r="A377" s="22"/>
      <c r="D377" s="40"/>
      <c r="E377" s="41"/>
      <c r="F377" s="27" t="str">
        <f t="shared" si="1"/>
        <v/>
      </c>
    </row>
    <row r="378">
      <c r="A378" s="22"/>
      <c r="D378" s="40"/>
      <c r="E378" s="41"/>
      <c r="F378" s="27" t="str">
        <f t="shared" si="1"/>
        <v/>
      </c>
    </row>
    <row r="379">
      <c r="A379" s="22"/>
      <c r="D379" s="40"/>
      <c r="E379" s="41"/>
      <c r="F379" s="27" t="str">
        <f t="shared" si="1"/>
        <v/>
      </c>
    </row>
    <row r="380">
      <c r="A380" s="22"/>
      <c r="D380" s="40"/>
      <c r="E380" s="41"/>
      <c r="F380" s="27" t="str">
        <f t="shared" si="1"/>
        <v/>
      </c>
    </row>
    <row r="381">
      <c r="A381" s="22"/>
      <c r="D381" s="40"/>
      <c r="E381" s="41"/>
      <c r="F381" s="27" t="str">
        <f t="shared" si="1"/>
        <v/>
      </c>
    </row>
    <row r="382">
      <c r="A382" s="22"/>
      <c r="D382" s="40"/>
      <c r="E382" s="41"/>
      <c r="F382" s="27" t="str">
        <f t="shared" si="1"/>
        <v/>
      </c>
    </row>
    <row r="383">
      <c r="A383" s="22"/>
      <c r="D383" s="40"/>
      <c r="E383" s="41"/>
      <c r="F383" s="27" t="str">
        <f t="shared" si="1"/>
        <v/>
      </c>
    </row>
    <row r="384">
      <c r="A384" s="22"/>
      <c r="D384" s="40"/>
      <c r="E384" s="41"/>
      <c r="F384" s="27" t="str">
        <f t="shared" si="1"/>
        <v/>
      </c>
    </row>
    <row r="385">
      <c r="A385" s="22"/>
      <c r="D385" s="40"/>
      <c r="E385" s="41"/>
      <c r="F385" s="27" t="str">
        <f t="shared" si="1"/>
        <v/>
      </c>
    </row>
    <row r="386">
      <c r="A386" s="22"/>
      <c r="D386" s="40"/>
      <c r="E386" s="41"/>
      <c r="F386" s="27" t="str">
        <f t="shared" si="1"/>
        <v/>
      </c>
    </row>
    <row r="387">
      <c r="A387" s="22"/>
      <c r="D387" s="40"/>
      <c r="E387" s="41"/>
      <c r="F387" s="27" t="str">
        <f t="shared" si="1"/>
        <v/>
      </c>
    </row>
    <row r="388">
      <c r="A388" s="22"/>
      <c r="D388" s="40"/>
      <c r="E388" s="41"/>
      <c r="F388" s="27" t="str">
        <f t="shared" si="1"/>
        <v/>
      </c>
    </row>
    <row r="389">
      <c r="A389" s="22"/>
      <c r="D389" s="40"/>
      <c r="E389" s="41"/>
      <c r="F389" s="27" t="str">
        <f t="shared" si="1"/>
        <v/>
      </c>
    </row>
    <row r="390">
      <c r="A390" s="22"/>
      <c r="D390" s="40"/>
      <c r="E390" s="41"/>
      <c r="F390" s="27" t="str">
        <f t="shared" si="1"/>
        <v/>
      </c>
    </row>
    <row r="391">
      <c r="A391" s="22"/>
      <c r="D391" s="40"/>
      <c r="E391" s="41"/>
      <c r="F391" s="27" t="str">
        <f t="shared" si="1"/>
        <v/>
      </c>
    </row>
    <row r="392">
      <c r="A392" s="22"/>
      <c r="D392" s="40"/>
      <c r="E392" s="41"/>
      <c r="F392" s="27" t="str">
        <f t="shared" si="1"/>
        <v/>
      </c>
    </row>
    <row r="393">
      <c r="A393" s="22"/>
      <c r="D393" s="40"/>
      <c r="E393" s="41"/>
      <c r="F393" s="27" t="str">
        <f t="shared" si="1"/>
        <v/>
      </c>
    </row>
    <row r="394">
      <c r="A394" s="22"/>
      <c r="D394" s="40"/>
      <c r="E394" s="41"/>
      <c r="F394" s="27" t="str">
        <f t="shared" si="1"/>
        <v/>
      </c>
    </row>
    <row r="395">
      <c r="A395" s="22"/>
      <c r="D395" s="40"/>
      <c r="E395" s="41"/>
      <c r="F395" s="27" t="str">
        <f t="shared" si="1"/>
        <v/>
      </c>
    </row>
    <row r="396">
      <c r="A396" s="22"/>
      <c r="D396" s="40"/>
      <c r="E396" s="41"/>
      <c r="F396" s="27" t="str">
        <f t="shared" si="1"/>
        <v/>
      </c>
    </row>
    <row r="397">
      <c r="A397" s="22"/>
      <c r="D397" s="40"/>
      <c r="E397" s="41"/>
      <c r="F397" s="27" t="str">
        <f t="shared" si="1"/>
        <v/>
      </c>
    </row>
    <row r="398">
      <c r="A398" s="22"/>
      <c r="D398" s="40"/>
      <c r="E398" s="41"/>
      <c r="F398" s="27" t="str">
        <f t="shared" si="1"/>
        <v/>
      </c>
    </row>
    <row r="399">
      <c r="A399" s="22"/>
      <c r="D399" s="40"/>
      <c r="E399" s="41"/>
      <c r="F399" s="27" t="str">
        <f t="shared" si="1"/>
        <v/>
      </c>
    </row>
    <row r="400">
      <c r="A400" s="22"/>
      <c r="D400" s="40"/>
      <c r="E400" s="41"/>
      <c r="F400" s="27" t="str">
        <f t="shared" si="1"/>
        <v/>
      </c>
    </row>
    <row r="401">
      <c r="A401" s="22"/>
      <c r="D401" s="40"/>
      <c r="E401" s="41"/>
      <c r="F401" s="27" t="str">
        <f t="shared" si="1"/>
        <v/>
      </c>
    </row>
    <row r="402">
      <c r="A402" s="22"/>
      <c r="D402" s="40"/>
      <c r="E402" s="41"/>
      <c r="F402" s="27" t="str">
        <f t="shared" si="1"/>
        <v/>
      </c>
    </row>
    <row r="403">
      <c r="A403" s="22"/>
      <c r="D403" s="40"/>
      <c r="E403" s="41"/>
      <c r="F403" s="27" t="str">
        <f t="shared" si="1"/>
        <v/>
      </c>
    </row>
    <row r="404">
      <c r="A404" s="22"/>
      <c r="D404" s="40"/>
      <c r="E404" s="41"/>
      <c r="F404" s="27" t="str">
        <f t="shared" si="1"/>
        <v/>
      </c>
    </row>
    <row r="405">
      <c r="A405" s="22"/>
      <c r="D405" s="40"/>
      <c r="E405" s="41"/>
      <c r="F405" s="27" t="str">
        <f t="shared" si="1"/>
        <v/>
      </c>
    </row>
    <row r="406">
      <c r="A406" s="22"/>
      <c r="D406" s="40"/>
      <c r="E406" s="41"/>
      <c r="F406" s="27" t="str">
        <f t="shared" si="1"/>
        <v/>
      </c>
    </row>
    <row r="407">
      <c r="A407" s="22"/>
      <c r="D407" s="40"/>
      <c r="E407" s="41"/>
      <c r="F407" s="27" t="str">
        <f t="shared" si="1"/>
        <v/>
      </c>
    </row>
    <row r="408">
      <c r="A408" s="22"/>
      <c r="D408" s="40"/>
      <c r="E408" s="41"/>
      <c r="F408" s="27" t="str">
        <f t="shared" si="1"/>
        <v/>
      </c>
    </row>
    <row r="409">
      <c r="A409" s="22"/>
      <c r="D409" s="40"/>
      <c r="E409" s="41"/>
      <c r="F409" s="27" t="str">
        <f t="shared" si="1"/>
        <v/>
      </c>
    </row>
    <row r="410">
      <c r="A410" s="22"/>
      <c r="D410" s="40"/>
      <c r="E410" s="41"/>
      <c r="F410" s="27" t="str">
        <f t="shared" si="1"/>
        <v/>
      </c>
    </row>
    <row r="411">
      <c r="A411" s="22"/>
      <c r="D411" s="40"/>
      <c r="E411" s="41"/>
      <c r="F411" s="27" t="str">
        <f t="shared" si="1"/>
        <v/>
      </c>
    </row>
    <row r="412">
      <c r="A412" s="22"/>
      <c r="D412" s="40"/>
      <c r="E412" s="41"/>
      <c r="F412" s="27" t="str">
        <f t="shared" si="1"/>
        <v/>
      </c>
    </row>
    <row r="413">
      <c r="A413" s="22"/>
      <c r="D413" s="40"/>
      <c r="E413" s="41"/>
      <c r="F413" s="27" t="str">
        <f t="shared" si="1"/>
        <v/>
      </c>
    </row>
    <row r="414">
      <c r="A414" s="22"/>
      <c r="D414" s="40"/>
      <c r="E414" s="41"/>
      <c r="F414" s="27" t="str">
        <f t="shared" si="1"/>
        <v/>
      </c>
    </row>
    <row r="415">
      <c r="A415" s="22"/>
      <c r="D415" s="40"/>
      <c r="E415" s="41"/>
      <c r="F415" s="27" t="str">
        <f t="shared" si="1"/>
        <v/>
      </c>
    </row>
    <row r="416">
      <c r="A416" s="22"/>
      <c r="D416" s="40"/>
      <c r="E416" s="41"/>
      <c r="F416" s="27" t="str">
        <f t="shared" si="1"/>
        <v/>
      </c>
    </row>
    <row r="417">
      <c r="A417" s="22"/>
      <c r="D417" s="40"/>
      <c r="E417" s="41"/>
      <c r="F417" s="27" t="str">
        <f t="shared" si="1"/>
        <v/>
      </c>
    </row>
    <row r="418">
      <c r="A418" s="22"/>
      <c r="D418" s="40"/>
      <c r="E418" s="41"/>
      <c r="F418" s="27" t="str">
        <f t="shared" si="1"/>
        <v/>
      </c>
    </row>
    <row r="419">
      <c r="A419" s="22"/>
      <c r="D419" s="40"/>
      <c r="E419" s="41"/>
      <c r="F419" s="27" t="str">
        <f t="shared" si="1"/>
        <v/>
      </c>
    </row>
    <row r="420">
      <c r="A420" s="22"/>
      <c r="D420" s="40"/>
      <c r="E420" s="41"/>
      <c r="F420" s="27" t="str">
        <f t="shared" si="1"/>
        <v/>
      </c>
    </row>
    <row r="421">
      <c r="A421" s="22"/>
      <c r="D421" s="40"/>
      <c r="E421" s="41"/>
      <c r="F421" s="27" t="str">
        <f t="shared" si="1"/>
        <v/>
      </c>
    </row>
    <row r="422">
      <c r="A422" s="22"/>
      <c r="D422" s="40"/>
      <c r="E422" s="41"/>
      <c r="F422" s="27" t="str">
        <f t="shared" si="1"/>
        <v/>
      </c>
    </row>
    <row r="423">
      <c r="A423" s="22"/>
      <c r="D423" s="40"/>
      <c r="E423" s="41"/>
      <c r="F423" s="27" t="str">
        <f t="shared" si="1"/>
        <v/>
      </c>
    </row>
    <row r="424">
      <c r="A424" s="22"/>
      <c r="D424" s="40"/>
      <c r="E424" s="41"/>
      <c r="F424" s="27" t="str">
        <f t="shared" si="1"/>
        <v/>
      </c>
    </row>
    <row r="425">
      <c r="A425" s="22"/>
      <c r="D425" s="40"/>
      <c r="E425" s="41"/>
      <c r="F425" s="27" t="str">
        <f t="shared" si="1"/>
        <v/>
      </c>
    </row>
    <row r="426">
      <c r="A426" s="22"/>
      <c r="D426" s="40"/>
      <c r="E426" s="41"/>
      <c r="F426" s="27" t="str">
        <f t="shared" si="1"/>
        <v/>
      </c>
    </row>
    <row r="427">
      <c r="A427" s="22"/>
      <c r="D427" s="40"/>
      <c r="E427" s="41"/>
      <c r="F427" s="27" t="str">
        <f t="shared" si="1"/>
        <v/>
      </c>
    </row>
    <row r="428">
      <c r="A428" s="22"/>
      <c r="D428" s="40"/>
      <c r="E428" s="41"/>
      <c r="F428" s="27" t="str">
        <f t="shared" si="1"/>
        <v/>
      </c>
    </row>
    <row r="429">
      <c r="A429" s="22"/>
      <c r="D429" s="40"/>
      <c r="E429" s="41"/>
      <c r="F429" s="27" t="str">
        <f t="shared" si="1"/>
        <v/>
      </c>
    </row>
    <row r="430">
      <c r="A430" s="22"/>
      <c r="D430" s="40"/>
      <c r="E430" s="41"/>
      <c r="F430" s="27" t="str">
        <f t="shared" si="1"/>
        <v/>
      </c>
    </row>
    <row r="431">
      <c r="A431" s="22"/>
      <c r="D431" s="40"/>
      <c r="E431" s="41"/>
      <c r="F431" s="27" t="str">
        <f t="shared" si="1"/>
        <v/>
      </c>
    </row>
    <row r="432">
      <c r="A432" s="22"/>
      <c r="D432" s="40"/>
      <c r="E432" s="41"/>
      <c r="F432" s="27" t="str">
        <f t="shared" si="1"/>
        <v/>
      </c>
    </row>
    <row r="433">
      <c r="A433" s="22"/>
      <c r="D433" s="40"/>
      <c r="E433" s="41"/>
      <c r="F433" s="27" t="str">
        <f t="shared" si="1"/>
        <v/>
      </c>
    </row>
    <row r="434">
      <c r="A434" s="22"/>
      <c r="D434" s="40"/>
      <c r="E434" s="41"/>
      <c r="F434" s="27" t="str">
        <f t="shared" si="1"/>
        <v/>
      </c>
    </row>
    <row r="435">
      <c r="A435" s="22"/>
      <c r="D435" s="40"/>
      <c r="E435" s="41"/>
      <c r="F435" s="27" t="str">
        <f t="shared" si="1"/>
        <v/>
      </c>
    </row>
    <row r="436">
      <c r="A436" s="22"/>
      <c r="D436" s="40"/>
      <c r="E436" s="41"/>
      <c r="F436" s="27" t="str">
        <f t="shared" si="1"/>
        <v/>
      </c>
    </row>
    <row r="437">
      <c r="A437" s="22"/>
      <c r="D437" s="40"/>
      <c r="E437" s="41"/>
      <c r="F437" s="27" t="str">
        <f t="shared" si="1"/>
        <v/>
      </c>
    </row>
    <row r="438">
      <c r="A438" s="22"/>
      <c r="D438" s="40"/>
      <c r="E438" s="41"/>
      <c r="F438" s="27" t="str">
        <f t="shared" si="1"/>
        <v/>
      </c>
    </row>
    <row r="439">
      <c r="A439" s="22"/>
      <c r="D439" s="40"/>
      <c r="E439" s="41"/>
      <c r="F439" s="27" t="str">
        <f t="shared" si="1"/>
        <v/>
      </c>
    </row>
    <row r="440">
      <c r="A440" s="22"/>
      <c r="D440" s="40"/>
      <c r="E440" s="41"/>
      <c r="F440" s="27" t="str">
        <f t="shared" si="1"/>
        <v/>
      </c>
    </row>
    <row r="441">
      <c r="A441" s="22"/>
      <c r="D441" s="40"/>
      <c r="E441" s="41"/>
      <c r="F441" s="27" t="str">
        <f t="shared" si="1"/>
        <v/>
      </c>
    </row>
    <row r="442">
      <c r="A442" s="22"/>
      <c r="D442" s="40"/>
      <c r="E442" s="41"/>
      <c r="F442" s="27" t="str">
        <f t="shared" si="1"/>
        <v/>
      </c>
    </row>
    <row r="443">
      <c r="A443" s="22"/>
      <c r="D443" s="40"/>
      <c r="E443" s="41"/>
      <c r="F443" s="27" t="str">
        <f t="shared" si="1"/>
        <v/>
      </c>
    </row>
    <row r="444">
      <c r="A444" s="22"/>
      <c r="D444" s="40"/>
      <c r="E444" s="41"/>
      <c r="F444" s="27" t="str">
        <f t="shared" si="1"/>
        <v/>
      </c>
    </row>
    <row r="445">
      <c r="A445" s="22"/>
      <c r="D445" s="40"/>
      <c r="E445" s="41"/>
      <c r="F445" s="27" t="str">
        <f t="shared" si="1"/>
        <v/>
      </c>
    </row>
    <row r="446">
      <c r="A446" s="22"/>
      <c r="D446" s="40"/>
      <c r="E446" s="41"/>
      <c r="F446" s="27" t="str">
        <f t="shared" si="1"/>
        <v/>
      </c>
    </row>
    <row r="447">
      <c r="A447" s="22"/>
      <c r="D447" s="40"/>
      <c r="E447" s="41"/>
      <c r="F447" s="27" t="str">
        <f t="shared" si="1"/>
        <v/>
      </c>
    </row>
    <row r="448">
      <c r="A448" s="22"/>
      <c r="D448" s="40"/>
      <c r="E448" s="41"/>
      <c r="F448" s="27" t="str">
        <f t="shared" si="1"/>
        <v/>
      </c>
    </row>
    <row r="449">
      <c r="A449" s="22"/>
      <c r="D449" s="40"/>
      <c r="E449" s="41"/>
      <c r="F449" s="27" t="str">
        <f t="shared" si="1"/>
        <v/>
      </c>
    </row>
    <row r="450">
      <c r="A450" s="22"/>
      <c r="D450" s="40"/>
      <c r="E450" s="41"/>
      <c r="F450" s="27" t="str">
        <f t="shared" si="1"/>
        <v/>
      </c>
    </row>
    <row r="451">
      <c r="A451" s="22"/>
      <c r="D451" s="40"/>
      <c r="E451" s="41"/>
      <c r="F451" s="27" t="str">
        <f t="shared" si="1"/>
        <v/>
      </c>
    </row>
    <row r="452">
      <c r="A452" s="22"/>
      <c r="D452" s="40"/>
      <c r="E452" s="41"/>
      <c r="F452" s="27" t="str">
        <f t="shared" si="1"/>
        <v/>
      </c>
    </row>
    <row r="453">
      <c r="A453" s="22"/>
      <c r="D453" s="40"/>
      <c r="E453" s="41"/>
      <c r="F453" s="27" t="str">
        <f t="shared" si="1"/>
        <v/>
      </c>
    </row>
    <row r="454">
      <c r="A454" s="22"/>
      <c r="D454" s="40"/>
      <c r="E454" s="41"/>
      <c r="F454" s="27" t="str">
        <f t="shared" si="1"/>
        <v/>
      </c>
    </row>
    <row r="455">
      <c r="A455" s="22"/>
      <c r="D455" s="40"/>
      <c r="E455" s="41"/>
      <c r="F455" s="27" t="str">
        <f t="shared" si="1"/>
        <v/>
      </c>
    </row>
    <row r="456">
      <c r="A456" s="22"/>
      <c r="D456" s="40"/>
      <c r="E456" s="41"/>
      <c r="F456" s="27" t="str">
        <f t="shared" si="1"/>
        <v/>
      </c>
    </row>
    <row r="457">
      <c r="A457" s="22"/>
      <c r="D457" s="40"/>
      <c r="E457" s="41"/>
      <c r="F457" s="27" t="str">
        <f t="shared" si="1"/>
        <v/>
      </c>
    </row>
    <row r="458">
      <c r="A458" s="22"/>
      <c r="D458" s="40"/>
      <c r="E458" s="41"/>
      <c r="F458" s="27" t="str">
        <f t="shared" si="1"/>
        <v/>
      </c>
    </row>
    <row r="459">
      <c r="A459" s="22"/>
      <c r="D459" s="40"/>
      <c r="E459" s="41"/>
      <c r="F459" s="27" t="str">
        <f t="shared" si="1"/>
        <v/>
      </c>
    </row>
    <row r="460">
      <c r="A460" s="22"/>
      <c r="D460" s="40"/>
      <c r="E460" s="41"/>
      <c r="F460" s="27" t="str">
        <f t="shared" si="1"/>
        <v/>
      </c>
    </row>
    <row r="461">
      <c r="A461" s="22"/>
      <c r="D461" s="40"/>
      <c r="E461" s="41"/>
      <c r="F461" s="27" t="str">
        <f t="shared" si="1"/>
        <v/>
      </c>
    </row>
    <row r="462">
      <c r="A462" s="22"/>
      <c r="D462" s="40"/>
      <c r="E462" s="41"/>
      <c r="F462" s="27" t="str">
        <f t="shared" si="1"/>
        <v/>
      </c>
    </row>
    <row r="463">
      <c r="A463" s="22"/>
      <c r="D463" s="40"/>
      <c r="E463" s="41"/>
      <c r="F463" s="27" t="str">
        <f t="shared" si="1"/>
        <v/>
      </c>
    </row>
    <row r="464">
      <c r="A464" s="22"/>
      <c r="D464" s="40"/>
      <c r="E464" s="41"/>
      <c r="F464" s="27" t="str">
        <f t="shared" si="1"/>
        <v/>
      </c>
    </row>
    <row r="465">
      <c r="A465" s="22"/>
      <c r="D465" s="40"/>
      <c r="E465" s="41"/>
      <c r="F465" s="27" t="str">
        <f t="shared" si="1"/>
        <v/>
      </c>
    </row>
    <row r="466">
      <c r="A466" s="22"/>
      <c r="D466" s="40"/>
      <c r="E466" s="41"/>
      <c r="F466" s="27" t="str">
        <f t="shared" si="1"/>
        <v/>
      </c>
    </row>
    <row r="467">
      <c r="A467" s="22"/>
      <c r="D467" s="40"/>
      <c r="E467" s="41"/>
      <c r="F467" s="27" t="str">
        <f t="shared" si="1"/>
        <v/>
      </c>
    </row>
    <row r="468">
      <c r="A468" s="22"/>
      <c r="D468" s="40"/>
      <c r="E468" s="41"/>
      <c r="F468" s="27" t="str">
        <f t="shared" si="1"/>
        <v/>
      </c>
    </row>
    <row r="469">
      <c r="A469" s="22"/>
      <c r="D469" s="40"/>
      <c r="E469" s="41"/>
      <c r="F469" s="27" t="str">
        <f t="shared" si="1"/>
        <v/>
      </c>
    </row>
    <row r="470">
      <c r="A470" s="22"/>
      <c r="D470" s="40"/>
      <c r="E470" s="41"/>
      <c r="F470" s="27" t="str">
        <f t="shared" si="1"/>
        <v/>
      </c>
    </row>
    <row r="471">
      <c r="A471" s="22"/>
      <c r="D471" s="40"/>
      <c r="E471" s="41"/>
      <c r="F471" s="27" t="str">
        <f t="shared" si="1"/>
        <v/>
      </c>
    </row>
    <row r="472">
      <c r="A472" s="22"/>
      <c r="D472" s="40"/>
      <c r="E472" s="41"/>
      <c r="F472" s="27" t="str">
        <f t="shared" si="1"/>
        <v/>
      </c>
    </row>
    <row r="473">
      <c r="A473" s="22"/>
      <c r="D473" s="40"/>
      <c r="E473" s="41"/>
      <c r="F473" s="27" t="str">
        <f t="shared" si="1"/>
        <v/>
      </c>
    </row>
    <row r="474">
      <c r="A474" s="22"/>
      <c r="D474" s="40"/>
      <c r="E474" s="41"/>
      <c r="F474" s="27" t="str">
        <f t="shared" si="1"/>
        <v/>
      </c>
    </row>
    <row r="475">
      <c r="A475" s="22"/>
      <c r="D475" s="40"/>
      <c r="E475" s="41"/>
      <c r="F475" s="27" t="str">
        <f t="shared" si="1"/>
        <v/>
      </c>
    </row>
    <row r="476">
      <c r="A476" s="22"/>
      <c r="D476" s="40"/>
      <c r="E476" s="41"/>
      <c r="F476" s="27" t="str">
        <f t="shared" si="1"/>
        <v/>
      </c>
    </row>
    <row r="477">
      <c r="A477" s="22"/>
      <c r="D477" s="40"/>
      <c r="E477" s="41"/>
      <c r="F477" s="27" t="str">
        <f t="shared" si="1"/>
        <v/>
      </c>
    </row>
    <row r="478">
      <c r="A478" s="22"/>
      <c r="D478" s="40"/>
      <c r="E478" s="41"/>
      <c r="F478" s="27" t="str">
        <f t="shared" si="1"/>
        <v/>
      </c>
    </row>
    <row r="479">
      <c r="A479" s="22"/>
      <c r="D479" s="40"/>
      <c r="E479" s="41"/>
      <c r="F479" s="27" t="str">
        <f t="shared" si="1"/>
        <v/>
      </c>
    </row>
    <row r="480">
      <c r="A480" s="22"/>
      <c r="D480" s="40"/>
      <c r="E480" s="41"/>
      <c r="F480" s="27" t="str">
        <f t="shared" si="1"/>
        <v/>
      </c>
    </row>
    <row r="481">
      <c r="A481" s="22"/>
      <c r="D481" s="40"/>
      <c r="E481" s="41"/>
      <c r="F481" s="27" t="str">
        <f t="shared" si="1"/>
        <v/>
      </c>
    </row>
    <row r="482">
      <c r="A482" s="22"/>
      <c r="D482" s="40"/>
      <c r="E482" s="41"/>
      <c r="F482" s="27" t="str">
        <f t="shared" si="1"/>
        <v/>
      </c>
    </row>
    <row r="483">
      <c r="A483" s="22"/>
      <c r="D483" s="40"/>
      <c r="E483" s="41"/>
      <c r="F483" s="27" t="str">
        <f t="shared" si="1"/>
        <v/>
      </c>
    </row>
    <row r="484">
      <c r="A484" s="22"/>
      <c r="D484" s="40"/>
      <c r="E484" s="41"/>
      <c r="F484" s="27" t="str">
        <f t="shared" si="1"/>
        <v/>
      </c>
    </row>
    <row r="485">
      <c r="A485" s="22"/>
      <c r="D485" s="40"/>
      <c r="E485" s="41"/>
      <c r="F485" s="27" t="str">
        <f t="shared" si="1"/>
        <v/>
      </c>
    </row>
    <row r="486">
      <c r="A486" s="22"/>
      <c r="D486" s="40"/>
      <c r="E486" s="41"/>
      <c r="F486" s="27" t="str">
        <f t="shared" si="1"/>
        <v/>
      </c>
    </row>
    <row r="487">
      <c r="A487" s="22"/>
      <c r="D487" s="40"/>
      <c r="E487" s="41"/>
      <c r="F487" s="27" t="str">
        <f t="shared" si="1"/>
        <v/>
      </c>
    </row>
    <row r="488">
      <c r="A488" s="22"/>
      <c r="D488" s="40"/>
      <c r="E488" s="41"/>
      <c r="F488" s="27" t="str">
        <f t="shared" si="1"/>
        <v/>
      </c>
    </row>
    <row r="489">
      <c r="A489" s="22"/>
      <c r="D489" s="40"/>
      <c r="E489" s="41"/>
      <c r="F489" s="27" t="str">
        <f t="shared" si="1"/>
        <v/>
      </c>
    </row>
    <row r="490">
      <c r="A490" s="22"/>
      <c r="D490" s="40"/>
      <c r="E490" s="41"/>
      <c r="F490" s="27" t="str">
        <f t="shared" si="1"/>
        <v/>
      </c>
    </row>
    <row r="491">
      <c r="A491" s="22"/>
      <c r="D491" s="40"/>
      <c r="E491" s="41"/>
      <c r="F491" s="27" t="str">
        <f t="shared" si="1"/>
        <v/>
      </c>
    </row>
    <row r="492">
      <c r="A492" s="22"/>
      <c r="D492" s="40"/>
      <c r="E492" s="41"/>
      <c r="F492" s="27" t="str">
        <f t="shared" si="1"/>
        <v/>
      </c>
    </row>
    <row r="493">
      <c r="A493" s="22"/>
      <c r="D493" s="40"/>
      <c r="E493" s="41"/>
      <c r="F493" s="27" t="str">
        <f t="shared" si="1"/>
        <v/>
      </c>
    </row>
    <row r="494">
      <c r="A494" s="22"/>
      <c r="D494" s="40"/>
      <c r="E494" s="41"/>
      <c r="F494" s="27" t="str">
        <f t="shared" si="1"/>
        <v/>
      </c>
    </row>
    <row r="495">
      <c r="A495" s="22"/>
      <c r="D495" s="40"/>
      <c r="E495" s="41"/>
      <c r="F495" s="27" t="str">
        <f t="shared" si="1"/>
        <v/>
      </c>
    </row>
    <row r="496">
      <c r="A496" s="22"/>
      <c r="D496" s="40"/>
      <c r="E496" s="41"/>
      <c r="F496" s="27" t="str">
        <f t="shared" si="1"/>
        <v/>
      </c>
    </row>
    <row r="497">
      <c r="A497" s="22"/>
      <c r="D497" s="40"/>
      <c r="E497" s="41"/>
      <c r="F497" s="27" t="str">
        <f t="shared" si="1"/>
        <v/>
      </c>
    </row>
    <row r="498">
      <c r="A498" s="22"/>
      <c r="D498" s="40"/>
      <c r="E498" s="41"/>
      <c r="F498" s="27" t="str">
        <f t="shared" si="1"/>
        <v/>
      </c>
    </row>
    <row r="499">
      <c r="A499" s="22"/>
      <c r="D499" s="40"/>
      <c r="E499" s="41"/>
      <c r="F499" s="27" t="str">
        <f t="shared" si="1"/>
        <v/>
      </c>
    </row>
    <row r="500">
      <c r="A500" s="22"/>
      <c r="D500" s="40"/>
      <c r="E500" s="41"/>
      <c r="F500" s="27" t="str">
        <f t="shared" si="1"/>
        <v/>
      </c>
    </row>
    <row r="501">
      <c r="A501" s="22"/>
      <c r="D501" s="40"/>
      <c r="E501" s="41"/>
      <c r="F501" s="27" t="str">
        <f t="shared" si="1"/>
        <v/>
      </c>
    </row>
    <row r="502">
      <c r="A502" s="22"/>
      <c r="D502" s="40"/>
      <c r="E502" s="41"/>
      <c r="F502" s="27" t="str">
        <f t="shared" si="1"/>
        <v/>
      </c>
    </row>
    <row r="503">
      <c r="A503" s="22"/>
      <c r="D503" s="40"/>
      <c r="E503" s="41"/>
      <c r="F503" s="27" t="str">
        <f t="shared" si="1"/>
        <v/>
      </c>
    </row>
    <row r="504">
      <c r="A504" s="22"/>
      <c r="D504" s="40"/>
      <c r="E504" s="41"/>
      <c r="F504" s="27" t="str">
        <f t="shared" si="1"/>
        <v/>
      </c>
    </row>
    <row r="505">
      <c r="A505" s="22"/>
      <c r="D505" s="40"/>
      <c r="E505" s="41"/>
      <c r="F505" s="27" t="str">
        <f t="shared" si="1"/>
        <v/>
      </c>
    </row>
    <row r="506">
      <c r="A506" s="22"/>
      <c r="D506" s="40"/>
      <c r="E506" s="41"/>
      <c r="F506" s="27" t="str">
        <f t="shared" si="1"/>
        <v/>
      </c>
    </row>
    <row r="507">
      <c r="A507" s="22"/>
      <c r="D507" s="40"/>
      <c r="E507" s="41"/>
      <c r="F507" s="27" t="str">
        <f t="shared" si="1"/>
        <v/>
      </c>
    </row>
    <row r="508">
      <c r="A508" s="22"/>
      <c r="D508" s="40"/>
      <c r="E508" s="41"/>
      <c r="F508" s="27" t="str">
        <f t="shared" si="1"/>
        <v/>
      </c>
    </row>
    <row r="509">
      <c r="A509" s="22"/>
      <c r="D509" s="40"/>
      <c r="E509" s="41"/>
      <c r="F509" s="27" t="str">
        <f t="shared" si="1"/>
        <v/>
      </c>
    </row>
    <row r="510">
      <c r="A510" s="22"/>
      <c r="D510" s="40"/>
      <c r="E510" s="41"/>
      <c r="F510" s="27" t="str">
        <f t="shared" si="1"/>
        <v/>
      </c>
    </row>
    <row r="511">
      <c r="A511" s="22"/>
      <c r="D511" s="40"/>
      <c r="E511" s="41"/>
      <c r="F511" s="27" t="str">
        <f t="shared" si="1"/>
        <v/>
      </c>
    </row>
    <row r="512">
      <c r="A512" s="22"/>
      <c r="D512" s="40"/>
      <c r="E512" s="41"/>
      <c r="F512" s="27" t="str">
        <f t="shared" si="1"/>
        <v/>
      </c>
    </row>
    <row r="513">
      <c r="A513" s="22"/>
      <c r="D513" s="40"/>
      <c r="E513" s="41"/>
      <c r="F513" s="27" t="str">
        <f t="shared" si="1"/>
        <v/>
      </c>
    </row>
    <row r="514">
      <c r="A514" s="22"/>
      <c r="D514" s="40"/>
      <c r="E514" s="41"/>
      <c r="F514" s="27" t="str">
        <f t="shared" si="1"/>
        <v/>
      </c>
    </row>
    <row r="515">
      <c r="A515" s="22"/>
      <c r="D515" s="40"/>
      <c r="E515" s="41"/>
      <c r="F515" s="27" t="str">
        <f t="shared" si="1"/>
        <v/>
      </c>
    </row>
    <row r="516">
      <c r="A516" s="22"/>
      <c r="D516" s="40"/>
      <c r="E516" s="41"/>
      <c r="F516" s="27" t="str">
        <f t="shared" si="1"/>
        <v/>
      </c>
    </row>
    <row r="517">
      <c r="A517" s="22"/>
      <c r="D517" s="40"/>
      <c r="E517" s="41"/>
      <c r="F517" s="27" t="str">
        <f t="shared" si="1"/>
        <v/>
      </c>
    </row>
    <row r="518">
      <c r="A518" s="22"/>
      <c r="D518" s="40"/>
      <c r="E518" s="41"/>
      <c r="F518" s="27" t="str">
        <f t="shared" si="1"/>
        <v/>
      </c>
    </row>
    <row r="519">
      <c r="A519" s="22"/>
      <c r="D519" s="40"/>
      <c r="E519" s="41"/>
      <c r="F519" s="27" t="str">
        <f t="shared" si="1"/>
        <v/>
      </c>
    </row>
    <row r="520">
      <c r="A520" s="22"/>
      <c r="D520" s="40"/>
      <c r="E520" s="41"/>
      <c r="F520" s="27" t="str">
        <f t="shared" si="1"/>
        <v/>
      </c>
    </row>
    <row r="521">
      <c r="A521" s="22"/>
      <c r="D521" s="40"/>
      <c r="E521" s="41"/>
      <c r="F521" s="27" t="str">
        <f t="shared" si="1"/>
        <v/>
      </c>
    </row>
    <row r="522">
      <c r="A522" s="22"/>
      <c r="D522" s="40"/>
      <c r="E522" s="41"/>
      <c r="F522" s="27" t="str">
        <f t="shared" si="1"/>
        <v/>
      </c>
    </row>
    <row r="523">
      <c r="A523" s="22"/>
      <c r="D523" s="40"/>
      <c r="E523" s="41"/>
      <c r="F523" s="27" t="str">
        <f t="shared" si="1"/>
        <v/>
      </c>
    </row>
    <row r="524">
      <c r="A524" s="22"/>
      <c r="D524" s="40"/>
      <c r="E524" s="41"/>
      <c r="F524" s="27" t="str">
        <f t="shared" si="1"/>
        <v/>
      </c>
    </row>
    <row r="525">
      <c r="A525" s="22"/>
      <c r="D525" s="40"/>
      <c r="E525" s="41"/>
      <c r="F525" s="27" t="str">
        <f t="shared" si="1"/>
        <v/>
      </c>
    </row>
    <row r="526">
      <c r="A526" s="22"/>
      <c r="D526" s="40"/>
      <c r="E526" s="41"/>
      <c r="F526" s="27" t="str">
        <f t="shared" si="1"/>
        <v/>
      </c>
    </row>
    <row r="527">
      <c r="A527" s="22"/>
      <c r="D527" s="40"/>
      <c r="E527" s="41"/>
      <c r="F527" s="27" t="str">
        <f t="shared" si="1"/>
        <v/>
      </c>
    </row>
    <row r="528">
      <c r="A528" s="22"/>
      <c r="D528" s="40"/>
      <c r="E528" s="41"/>
      <c r="F528" s="27" t="str">
        <f t="shared" si="1"/>
        <v/>
      </c>
    </row>
    <row r="529">
      <c r="A529" s="22"/>
      <c r="D529" s="40"/>
      <c r="E529" s="41"/>
      <c r="F529" s="27" t="str">
        <f t="shared" si="1"/>
        <v/>
      </c>
    </row>
    <row r="530">
      <c r="A530" s="22"/>
      <c r="D530" s="40"/>
      <c r="E530" s="41"/>
      <c r="F530" s="27" t="str">
        <f t="shared" si="1"/>
        <v/>
      </c>
    </row>
    <row r="531">
      <c r="A531" s="22"/>
      <c r="D531" s="40"/>
      <c r="E531" s="41"/>
      <c r="F531" s="27" t="str">
        <f t="shared" si="1"/>
        <v/>
      </c>
    </row>
    <row r="532">
      <c r="A532" s="22"/>
      <c r="D532" s="40"/>
      <c r="E532" s="41"/>
      <c r="F532" s="27" t="str">
        <f t="shared" si="1"/>
        <v/>
      </c>
    </row>
    <row r="533">
      <c r="A533" s="22"/>
      <c r="D533" s="40"/>
      <c r="E533" s="41"/>
      <c r="F533" s="27" t="str">
        <f t="shared" si="1"/>
        <v/>
      </c>
    </row>
    <row r="534">
      <c r="A534" s="22"/>
      <c r="D534" s="40"/>
      <c r="E534" s="41"/>
      <c r="F534" s="27" t="str">
        <f t="shared" si="1"/>
        <v/>
      </c>
    </row>
    <row r="535">
      <c r="A535" s="22"/>
      <c r="D535" s="40"/>
      <c r="E535" s="41"/>
      <c r="F535" s="27" t="str">
        <f t="shared" si="1"/>
        <v/>
      </c>
    </row>
    <row r="536">
      <c r="A536" s="22"/>
      <c r="D536" s="40"/>
      <c r="E536" s="41"/>
      <c r="F536" s="27" t="str">
        <f t="shared" si="1"/>
        <v/>
      </c>
    </row>
    <row r="537">
      <c r="A537" s="22"/>
      <c r="D537" s="40"/>
      <c r="E537" s="41"/>
      <c r="F537" s="27" t="str">
        <f t="shared" si="1"/>
        <v/>
      </c>
    </row>
    <row r="538">
      <c r="A538" s="22"/>
      <c r="D538" s="40"/>
      <c r="E538" s="41"/>
      <c r="F538" s="27" t="str">
        <f t="shared" si="1"/>
        <v/>
      </c>
    </row>
    <row r="539">
      <c r="A539" s="22"/>
      <c r="D539" s="40"/>
      <c r="E539" s="41"/>
      <c r="F539" s="27" t="str">
        <f t="shared" si="1"/>
        <v/>
      </c>
    </row>
    <row r="540">
      <c r="A540" s="22"/>
      <c r="D540" s="40"/>
      <c r="E540" s="41"/>
      <c r="F540" s="27" t="str">
        <f t="shared" si="1"/>
        <v/>
      </c>
    </row>
    <row r="541">
      <c r="A541" s="22"/>
      <c r="D541" s="40"/>
      <c r="E541" s="41"/>
      <c r="F541" s="27" t="str">
        <f t="shared" si="1"/>
        <v/>
      </c>
    </row>
    <row r="542">
      <c r="A542" s="22"/>
      <c r="D542" s="40"/>
      <c r="E542" s="41"/>
      <c r="F542" s="27" t="str">
        <f t="shared" si="1"/>
        <v/>
      </c>
    </row>
    <row r="543">
      <c r="A543" s="22"/>
      <c r="D543" s="40"/>
      <c r="E543" s="41"/>
      <c r="F543" s="27" t="str">
        <f t="shared" si="1"/>
        <v/>
      </c>
    </row>
    <row r="544">
      <c r="A544" s="22"/>
      <c r="D544" s="40"/>
      <c r="E544" s="41"/>
      <c r="F544" s="27" t="str">
        <f t="shared" si="1"/>
        <v/>
      </c>
    </row>
    <row r="545">
      <c r="A545" s="22"/>
      <c r="D545" s="40"/>
      <c r="E545" s="41"/>
      <c r="F545" s="27" t="str">
        <f t="shared" si="1"/>
        <v/>
      </c>
    </row>
    <row r="546">
      <c r="A546" s="22"/>
      <c r="D546" s="40"/>
      <c r="E546" s="41"/>
      <c r="F546" s="27" t="str">
        <f t="shared" si="1"/>
        <v/>
      </c>
    </row>
    <row r="547">
      <c r="A547" s="22"/>
      <c r="D547" s="40"/>
      <c r="E547" s="41"/>
      <c r="F547" s="27" t="str">
        <f t="shared" si="1"/>
        <v/>
      </c>
    </row>
    <row r="548">
      <c r="A548" s="22"/>
      <c r="D548" s="40"/>
      <c r="E548" s="41"/>
      <c r="F548" s="27" t="str">
        <f t="shared" si="1"/>
        <v/>
      </c>
    </row>
    <row r="549">
      <c r="A549" s="22"/>
      <c r="D549" s="40"/>
      <c r="E549" s="41"/>
      <c r="F549" s="27" t="str">
        <f t="shared" si="1"/>
        <v/>
      </c>
    </row>
    <row r="550">
      <c r="A550" s="22"/>
      <c r="D550" s="40"/>
      <c r="E550" s="41"/>
      <c r="F550" s="27" t="str">
        <f t="shared" si="1"/>
        <v/>
      </c>
    </row>
    <row r="551">
      <c r="A551" s="22"/>
      <c r="D551" s="40"/>
      <c r="E551" s="41"/>
      <c r="F551" s="27" t="str">
        <f t="shared" si="1"/>
        <v/>
      </c>
    </row>
    <row r="552">
      <c r="A552" s="22"/>
      <c r="D552" s="40"/>
      <c r="E552" s="41"/>
      <c r="F552" s="27" t="str">
        <f t="shared" si="1"/>
        <v/>
      </c>
    </row>
    <row r="553">
      <c r="A553" s="22"/>
      <c r="D553" s="40"/>
      <c r="E553" s="41"/>
      <c r="F553" s="27" t="str">
        <f t="shared" si="1"/>
        <v/>
      </c>
    </row>
    <row r="554">
      <c r="A554" s="22"/>
      <c r="D554" s="40"/>
      <c r="E554" s="41"/>
      <c r="F554" s="27" t="str">
        <f t="shared" si="1"/>
        <v/>
      </c>
    </row>
    <row r="555">
      <c r="A555" s="22"/>
      <c r="D555" s="40"/>
      <c r="E555" s="41"/>
      <c r="F555" s="27" t="str">
        <f t="shared" si="1"/>
        <v/>
      </c>
    </row>
    <row r="556">
      <c r="A556" s="22"/>
      <c r="D556" s="40"/>
      <c r="E556" s="41"/>
      <c r="F556" s="27" t="str">
        <f t="shared" si="1"/>
        <v/>
      </c>
    </row>
    <row r="557">
      <c r="A557" s="22"/>
      <c r="D557" s="40"/>
      <c r="E557" s="41"/>
      <c r="F557" s="27" t="str">
        <f t="shared" si="1"/>
        <v/>
      </c>
    </row>
    <row r="558">
      <c r="A558" s="22"/>
      <c r="D558" s="40"/>
      <c r="E558" s="41"/>
      <c r="F558" s="27" t="str">
        <f t="shared" si="1"/>
        <v/>
      </c>
    </row>
    <row r="559">
      <c r="A559" s="22"/>
      <c r="D559" s="40"/>
      <c r="E559" s="41"/>
      <c r="F559" s="27" t="str">
        <f t="shared" si="1"/>
        <v/>
      </c>
    </row>
    <row r="560">
      <c r="A560" s="22"/>
      <c r="D560" s="40"/>
      <c r="E560" s="41"/>
      <c r="F560" s="27" t="str">
        <f t="shared" si="1"/>
        <v/>
      </c>
    </row>
    <row r="561">
      <c r="A561" s="22"/>
      <c r="D561" s="40"/>
      <c r="E561" s="41"/>
      <c r="F561" s="27" t="str">
        <f t="shared" si="1"/>
        <v/>
      </c>
    </row>
    <row r="562">
      <c r="A562" s="22"/>
      <c r="D562" s="40"/>
      <c r="E562" s="41"/>
      <c r="F562" s="27" t="str">
        <f t="shared" si="1"/>
        <v/>
      </c>
    </row>
    <row r="563">
      <c r="A563" s="22"/>
      <c r="D563" s="40"/>
      <c r="E563" s="41"/>
      <c r="F563" s="27" t="str">
        <f t="shared" si="1"/>
        <v/>
      </c>
    </row>
    <row r="564">
      <c r="A564" s="22"/>
      <c r="D564" s="40"/>
      <c r="E564" s="41"/>
      <c r="F564" s="27" t="str">
        <f t="shared" si="1"/>
        <v/>
      </c>
    </row>
    <row r="565">
      <c r="A565" s="22"/>
      <c r="D565" s="40"/>
      <c r="E565" s="41"/>
      <c r="F565" s="27" t="str">
        <f t="shared" si="1"/>
        <v/>
      </c>
    </row>
    <row r="566">
      <c r="A566" s="22"/>
      <c r="D566" s="40"/>
      <c r="E566" s="41"/>
      <c r="F566" s="27" t="str">
        <f t="shared" si="1"/>
        <v/>
      </c>
    </row>
    <row r="567">
      <c r="A567" s="22"/>
      <c r="D567" s="40"/>
      <c r="E567" s="41"/>
      <c r="F567" s="27" t="str">
        <f t="shared" si="1"/>
        <v/>
      </c>
    </row>
    <row r="568">
      <c r="A568" s="22"/>
      <c r="D568" s="40"/>
      <c r="E568" s="41"/>
      <c r="F568" s="27" t="str">
        <f t="shared" si="1"/>
        <v/>
      </c>
    </row>
    <row r="569">
      <c r="A569" s="22"/>
      <c r="D569" s="40"/>
      <c r="E569" s="41"/>
      <c r="F569" s="27" t="str">
        <f t="shared" si="1"/>
        <v/>
      </c>
    </row>
    <row r="570">
      <c r="A570" s="22"/>
      <c r="D570" s="40"/>
      <c r="E570" s="41"/>
      <c r="F570" s="27" t="str">
        <f t="shared" si="1"/>
        <v/>
      </c>
    </row>
    <row r="571">
      <c r="A571" s="22"/>
      <c r="D571" s="40"/>
      <c r="E571" s="41"/>
      <c r="F571" s="27" t="str">
        <f t="shared" si="1"/>
        <v/>
      </c>
    </row>
    <row r="572">
      <c r="A572" s="22"/>
      <c r="D572" s="40"/>
      <c r="E572" s="41"/>
      <c r="F572" s="27" t="str">
        <f t="shared" si="1"/>
        <v/>
      </c>
    </row>
    <row r="573">
      <c r="A573" s="22"/>
      <c r="D573" s="40"/>
      <c r="E573" s="41"/>
      <c r="F573" s="27" t="str">
        <f t="shared" si="1"/>
        <v/>
      </c>
    </row>
    <row r="574">
      <c r="A574" s="22"/>
      <c r="D574" s="40"/>
      <c r="E574" s="41"/>
      <c r="F574" s="27" t="str">
        <f t="shared" si="1"/>
        <v/>
      </c>
    </row>
    <row r="575">
      <c r="A575" s="22"/>
      <c r="D575" s="40"/>
      <c r="E575" s="41"/>
      <c r="F575" s="27" t="str">
        <f t="shared" si="1"/>
        <v/>
      </c>
    </row>
    <row r="576">
      <c r="A576" s="22"/>
      <c r="D576" s="40"/>
      <c r="E576" s="41"/>
      <c r="F576" s="27" t="str">
        <f t="shared" si="1"/>
        <v/>
      </c>
    </row>
    <row r="577">
      <c r="A577" s="22"/>
      <c r="D577" s="40"/>
      <c r="E577" s="41"/>
      <c r="F577" s="27" t="str">
        <f t="shared" si="1"/>
        <v/>
      </c>
    </row>
    <row r="578">
      <c r="A578" s="22"/>
      <c r="D578" s="40"/>
      <c r="E578" s="41"/>
      <c r="F578" s="27" t="str">
        <f t="shared" si="1"/>
        <v/>
      </c>
    </row>
    <row r="579">
      <c r="A579" s="22"/>
      <c r="D579" s="40"/>
      <c r="E579" s="41"/>
      <c r="F579" s="27" t="str">
        <f t="shared" si="1"/>
        <v/>
      </c>
    </row>
    <row r="580">
      <c r="A580" s="22"/>
      <c r="D580" s="40"/>
      <c r="E580" s="41"/>
      <c r="F580" s="27" t="str">
        <f t="shared" si="1"/>
        <v/>
      </c>
    </row>
    <row r="581">
      <c r="A581" s="22"/>
      <c r="D581" s="40"/>
      <c r="E581" s="41"/>
      <c r="F581" s="27" t="str">
        <f t="shared" si="1"/>
        <v/>
      </c>
    </row>
    <row r="582">
      <c r="A582" s="22"/>
      <c r="D582" s="40"/>
      <c r="E582" s="41"/>
      <c r="F582" s="27" t="str">
        <f t="shared" si="1"/>
        <v/>
      </c>
    </row>
    <row r="583">
      <c r="A583" s="22"/>
      <c r="D583" s="40"/>
      <c r="E583" s="41"/>
      <c r="F583" s="27" t="str">
        <f t="shared" si="1"/>
        <v/>
      </c>
    </row>
    <row r="584">
      <c r="A584" s="22"/>
      <c r="D584" s="40"/>
      <c r="E584" s="41"/>
      <c r="F584" s="27" t="str">
        <f t="shared" si="1"/>
        <v/>
      </c>
    </row>
    <row r="585">
      <c r="A585" s="22"/>
      <c r="D585" s="40"/>
      <c r="E585" s="41"/>
      <c r="F585" s="27" t="str">
        <f t="shared" si="1"/>
        <v/>
      </c>
    </row>
    <row r="586">
      <c r="A586" s="22"/>
      <c r="D586" s="40"/>
      <c r="E586" s="41"/>
      <c r="F586" s="27" t="str">
        <f t="shared" si="1"/>
        <v/>
      </c>
    </row>
    <row r="587">
      <c r="A587" s="22"/>
      <c r="D587" s="40"/>
      <c r="E587" s="41"/>
      <c r="F587" s="27" t="str">
        <f t="shared" si="1"/>
        <v/>
      </c>
    </row>
    <row r="588">
      <c r="A588" s="22"/>
      <c r="D588" s="40"/>
      <c r="E588" s="41"/>
      <c r="F588" s="27" t="str">
        <f t="shared" si="1"/>
        <v/>
      </c>
    </row>
    <row r="589">
      <c r="A589" s="22"/>
      <c r="D589" s="40"/>
      <c r="E589" s="41"/>
      <c r="F589" s="27" t="str">
        <f t="shared" si="1"/>
        <v/>
      </c>
    </row>
    <row r="590">
      <c r="A590" s="22"/>
      <c r="D590" s="40"/>
      <c r="E590" s="41"/>
      <c r="F590" s="27" t="str">
        <f t="shared" si="1"/>
        <v/>
      </c>
    </row>
    <row r="591">
      <c r="A591" s="22"/>
      <c r="D591" s="40"/>
      <c r="E591" s="41"/>
      <c r="F591" s="27" t="str">
        <f t="shared" si="1"/>
        <v/>
      </c>
    </row>
    <row r="592">
      <c r="A592" s="22"/>
      <c r="D592" s="40"/>
      <c r="E592" s="41"/>
      <c r="F592" s="27" t="str">
        <f t="shared" si="1"/>
        <v/>
      </c>
    </row>
    <row r="593">
      <c r="A593" s="22"/>
      <c r="D593" s="40"/>
      <c r="E593" s="41"/>
      <c r="F593" s="27" t="str">
        <f t="shared" si="1"/>
        <v/>
      </c>
    </row>
    <row r="594">
      <c r="A594" s="22"/>
      <c r="D594" s="40"/>
      <c r="E594" s="41"/>
      <c r="F594" s="27" t="str">
        <f t="shared" si="1"/>
        <v/>
      </c>
    </row>
    <row r="595">
      <c r="A595" s="22"/>
      <c r="D595" s="40"/>
      <c r="E595" s="41"/>
      <c r="F595" s="27" t="str">
        <f t="shared" si="1"/>
        <v/>
      </c>
    </row>
    <row r="596">
      <c r="A596" s="22"/>
      <c r="D596" s="40"/>
      <c r="E596" s="41"/>
      <c r="F596" s="27" t="str">
        <f t="shared" si="1"/>
        <v/>
      </c>
    </row>
    <row r="597">
      <c r="A597" s="22"/>
      <c r="D597" s="40"/>
      <c r="E597" s="41"/>
      <c r="F597" s="27" t="str">
        <f t="shared" si="1"/>
        <v/>
      </c>
    </row>
    <row r="598">
      <c r="A598" s="22"/>
      <c r="D598" s="40"/>
      <c r="E598" s="41"/>
      <c r="F598" s="27" t="str">
        <f t="shared" si="1"/>
        <v/>
      </c>
    </row>
    <row r="599">
      <c r="A599" s="22"/>
      <c r="D599" s="40"/>
      <c r="E599" s="41"/>
      <c r="F599" s="27" t="str">
        <f t="shared" si="1"/>
        <v/>
      </c>
    </row>
    <row r="600">
      <c r="A600" s="22"/>
      <c r="D600" s="40"/>
      <c r="E600" s="41"/>
      <c r="F600" s="27" t="str">
        <f t="shared" si="1"/>
        <v/>
      </c>
    </row>
    <row r="601">
      <c r="A601" s="22"/>
      <c r="D601" s="40"/>
      <c r="E601" s="41"/>
      <c r="F601" s="27" t="str">
        <f t="shared" si="1"/>
        <v/>
      </c>
    </row>
    <row r="602">
      <c r="A602" s="22"/>
      <c r="D602" s="40"/>
      <c r="E602" s="41"/>
      <c r="F602" s="27" t="str">
        <f t="shared" si="1"/>
        <v/>
      </c>
    </row>
    <row r="603">
      <c r="A603" s="22"/>
      <c r="D603" s="40"/>
      <c r="E603" s="41"/>
      <c r="F603" s="27" t="str">
        <f t="shared" si="1"/>
        <v/>
      </c>
    </row>
    <row r="604">
      <c r="A604" s="22"/>
      <c r="D604" s="40"/>
      <c r="E604" s="41"/>
      <c r="F604" s="27" t="str">
        <f t="shared" si="1"/>
        <v/>
      </c>
    </row>
    <row r="605">
      <c r="A605" s="22"/>
      <c r="D605" s="40"/>
      <c r="E605" s="41"/>
      <c r="F605" s="27" t="str">
        <f t="shared" si="1"/>
        <v/>
      </c>
    </row>
    <row r="606">
      <c r="A606" s="22"/>
      <c r="D606" s="40"/>
      <c r="E606" s="41"/>
      <c r="F606" s="27" t="str">
        <f t="shared" si="1"/>
        <v/>
      </c>
    </row>
    <row r="607">
      <c r="A607" s="22"/>
      <c r="D607" s="40"/>
      <c r="E607" s="41"/>
      <c r="F607" s="27" t="str">
        <f t="shared" si="1"/>
        <v/>
      </c>
    </row>
    <row r="608">
      <c r="A608" s="22"/>
      <c r="D608" s="40"/>
      <c r="E608" s="41"/>
      <c r="F608" s="27" t="str">
        <f t="shared" si="1"/>
        <v/>
      </c>
    </row>
    <row r="609">
      <c r="A609" s="22"/>
      <c r="D609" s="40"/>
      <c r="E609" s="41"/>
      <c r="F609" s="27" t="str">
        <f t="shared" si="1"/>
        <v/>
      </c>
    </row>
    <row r="610">
      <c r="A610" s="22"/>
      <c r="D610" s="40"/>
      <c r="E610" s="41"/>
      <c r="F610" s="27" t="str">
        <f t="shared" si="1"/>
        <v/>
      </c>
    </row>
    <row r="611">
      <c r="A611" s="22"/>
      <c r="D611" s="40"/>
      <c r="E611" s="41"/>
      <c r="F611" s="27" t="str">
        <f t="shared" si="1"/>
        <v/>
      </c>
    </row>
    <row r="612">
      <c r="A612" s="22"/>
      <c r="D612" s="40"/>
      <c r="E612" s="41"/>
      <c r="F612" s="27" t="str">
        <f t="shared" si="1"/>
        <v/>
      </c>
    </row>
    <row r="613">
      <c r="A613" s="22"/>
      <c r="D613" s="40"/>
      <c r="E613" s="41"/>
      <c r="F613" s="27" t="str">
        <f t="shared" si="1"/>
        <v/>
      </c>
    </row>
    <row r="614">
      <c r="A614" s="22"/>
      <c r="D614" s="40"/>
      <c r="E614" s="41"/>
      <c r="F614" s="27" t="str">
        <f t="shared" si="1"/>
        <v/>
      </c>
    </row>
    <row r="615">
      <c r="A615" s="22"/>
      <c r="D615" s="40"/>
      <c r="E615" s="41"/>
      <c r="F615" s="27" t="str">
        <f t="shared" si="1"/>
        <v/>
      </c>
    </row>
    <row r="616">
      <c r="A616" s="22"/>
      <c r="D616" s="40"/>
      <c r="E616" s="41"/>
      <c r="F616" s="27" t="str">
        <f t="shared" si="1"/>
        <v/>
      </c>
    </row>
    <row r="617">
      <c r="A617" s="22"/>
      <c r="D617" s="40"/>
      <c r="E617" s="41"/>
      <c r="F617" s="27" t="str">
        <f t="shared" si="1"/>
        <v/>
      </c>
    </row>
    <row r="618">
      <c r="A618" s="22"/>
      <c r="D618" s="40"/>
      <c r="E618" s="41"/>
      <c r="F618" s="27" t="str">
        <f t="shared" si="1"/>
        <v/>
      </c>
    </row>
    <row r="619">
      <c r="A619" s="22"/>
      <c r="D619" s="40"/>
      <c r="E619" s="41"/>
      <c r="F619" s="27" t="str">
        <f t="shared" si="1"/>
        <v/>
      </c>
    </row>
    <row r="620">
      <c r="A620" s="22"/>
      <c r="D620" s="40"/>
      <c r="E620" s="41"/>
      <c r="F620" s="27" t="str">
        <f t="shared" si="1"/>
        <v/>
      </c>
    </row>
    <row r="621">
      <c r="A621" s="22"/>
      <c r="D621" s="40"/>
      <c r="E621" s="41"/>
      <c r="F621" s="27" t="str">
        <f t="shared" si="1"/>
        <v/>
      </c>
    </row>
    <row r="622">
      <c r="A622" s="22"/>
      <c r="D622" s="40"/>
      <c r="E622" s="41"/>
      <c r="F622" s="27" t="str">
        <f t="shared" si="1"/>
        <v/>
      </c>
    </row>
    <row r="623">
      <c r="A623" s="22"/>
      <c r="D623" s="40"/>
      <c r="E623" s="41"/>
      <c r="F623" s="27" t="str">
        <f t="shared" si="1"/>
        <v/>
      </c>
    </row>
    <row r="624">
      <c r="A624" s="22"/>
      <c r="D624" s="40"/>
      <c r="E624" s="41"/>
      <c r="F624" s="27" t="str">
        <f t="shared" si="1"/>
        <v/>
      </c>
    </row>
    <row r="625">
      <c r="A625" s="22"/>
      <c r="D625" s="40"/>
      <c r="E625" s="41"/>
      <c r="F625" s="27" t="str">
        <f t="shared" si="1"/>
        <v/>
      </c>
    </row>
    <row r="626">
      <c r="A626" s="22"/>
      <c r="D626" s="40"/>
      <c r="E626" s="41"/>
      <c r="F626" s="27" t="str">
        <f t="shared" si="1"/>
        <v/>
      </c>
    </row>
    <row r="627">
      <c r="A627" s="22"/>
      <c r="D627" s="40"/>
      <c r="E627" s="41"/>
      <c r="F627" s="27" t="str">
        <f t="shared" si="1"/>
        <v/>
      </c>
    </row>
    <row r="628">
      <c r="A628" s="22"/>
      <c r="D628" s="40"/>
      <c r="E628" s="41"/>
      <c r="F628" s="27" t="str">
        <f t="shared" si="1"/>
        <v/>
      </c>
    </row>
    <row r="629">
      <c r="A629" s="22"/>
      <c r="D629" s="40"/>
      <c r="E629" s="41"/>
      <c r="F629" s="27" t="str">
        <f t="shared" si="1"/>
        <v/>
      </c>
    </row>
    <row r="630">
      <c r="A630" s="22"/>
      <c r="D630" s="40"/>
      <c r="E630" s="41"/>
      <c r="F630" s="27" t="str">
        <f t="shared" si="1"/>
        <v/>
      </c>
    </row>
    <row r="631">
      <c r="A631" s="22"/>
      <c r="D631" s="40"/>
      <c r="E631" s="41"/>
      <c r="F631" s="27" t="str">
        <f t="shared" si="1"/>
        <v/>
      </c>
    </row>
    <row r="632">
      <c r="A632" s="22"/>
      <c r="D632" s="40"/>
      <c r="E632" s="41"/>
      <c r="F632" s="27" t="str">
        <f t="shared" si="1"/>
        <v/>
      </c>
    </row>
    <row r="633">
      <c r="A633" s="22"/>
      <c r="D633" s="40"/>
      <c r="E633" s="41"/>
      <c r="F633" s="27" t="str">
        <f t="shared" si="1"/>
        <v/>
      </c>
    </row>
    <row r="634">
      <c r="A634" s="22"/>
      <c r="D634" s="40"/>
      <c r="E634" s="41"/>
      <c r="F634" s="27" t="str">
        <f t="shared" si="1"/>
        <v/>
      </c>
    </row>
    <row r="635">
      <c r="A635" s="22"/>
      <c r="D635" s="40"/>
      <c r="E635" s="41"/>
      <c r="F635" s="27" t="str">
        <f t="shared" si="1"/>
        <v/>
      </c>
    </row>
    <row r="636">
      <c r="A636" s="22"/>
      <c r="D636" s="40"/>
      <c r="E636" s="41"/>
      <c r="F636" s="27" t="str">
        <f t="shared" si="1"/>
        <v/>
      </c>
    </row>
    <row r="637">
      <c r="A637" s="22"/>
      <c r="D637" s="40"/>
      <c r="E637" s="41"/>
      <c r="F637" s="27" t="str">
        <f t="shared" si="1"/>
        <v/>
      </c>
    </row>
    <row r="638">
      <c r="A638" s="22"/>
      <c r="D638" s="40"/>
      <c r="E638" s="41"/>
      <c r="F638" s="27" t="str">
        <f t="shared" si="1"/>
        <v/>
      </c>
    </row>
    <row r="639">
      <c r="A639" s="22"/>
      <c r="D639" s="40"/>
      <c r="E639" s="41"/>
      <c r="F639" s="27" t="str">
        <f t="shared" si="1"/>
        <v/>
      </c>
    </row>
    <row r="640">
      <c r="A640" s="22"/>
      <c r="D640" s="40"/>
      <c r="E640" s="41"/>
      <c r="F640" s="27" t="str">
        <f t="shared" si="1"/>
        <v/>
      </c>
    </row>
    <row r="641">
      <c r="A641" s="22"/>
      <c r="D641" s="40"/>
      <c r="E641" s="41"/>
      <c r="F641" s="27" t="str">
        <f t="shared" si="1"/>
        <v/>
      </c>
    </row>
    <row r="642">
      <c r="A642" s="22"/>
      <c r="D642" s="40"/>
      <c r="E642" s="41"/>
      <c r="F642" s="27" t="str">
        <f t="shared" si="1"/>
        <v/>
      </c>
    </row>
    <row r="643">
      <c r="A643" s="22"/>
      <c r="D643" s="40"/>
      <c r="E643" s="41"/>
      <c r="F643" s="27" t="str">
        <f t="shared" si="1"/>
        <v/>
      </c>
    </row>
    <row r="644">
      <c r="A644" s="22"/>
      <c r="D644" s="40"/>
      <c r="E644" s="41"/>
      <c r="F644" s="27" t="str">
        <f t="shared" si="1"/>
        <v/>
      </c>
    </row>
    <row r="645">
      <c r="A645" s="22"/>
      <c r="D645" s="40"/>
      <c r="E645" s="41"/>
      <c r="F645" s="27" t="str">
        <f t="shared" si="1"/>
        <v/>
      </c>
    </row>
    <row r="646">
      <c r="A646" s="22"/>
      <c r="D646" s="40"/>
      <c r="E646" s="41"/>
      <c r="F646" s="27" t="str">
        <f t="shared" si="1"/>
        <v/>
      </c>
    </row>
    <row r="647">
      <c r="A647" s="22"/>
      <c r="D647" s="40"/>
      <c r="E647" s="41"/>
      <c r="F647" s="27" t="str">
        <f t="shared" si="1"/>
        <v/>
      </c>
    </row>
    <row r="648">
      <c r="A648" s="22"/>
      <c r="D648" s="40"/>
      <c r="E648" s="41"/>
      <c r="F648" s="27" t="str">
        <f t="shared" si="1"/>
        <v/>
      </c>
    </row>
    <row r="649">
      <c r="A649" s="22"/>
      <c r="D649" s="40"/>
      <c r="E649" s="41"/>
      <c r="F649" s="27" t="str">
        <f t="shared" si="1"/>
        <v/>
      </c>
    </row>
    <row r="650">
      <c r="A650" s="22"/>
      <c r="D650" s="40"/>
      <c r="E650" s="41"/>
      <c r="F650" s="27" t="str">
        <f t="shared" si="1"/>
        <v/>
      </c>
    </row>
    <row r="651">
      <c r="A651" s="22"/>
      <c r="D651" s="40"/>
      <c r="E651" s="41"/>
      <c r="F651" s="27" t="str">
        <f t="shared" si="1"/>
        <v/>
      </c>
    </row>
    <row r="652">
      <c r="A652" s="22"/>
      <c r="D652" s="40"/>
      <c r="E652" s="41"/>
      <c r="F652" s="27" t="str">
        <f t="shared" si="1"/>
        <v/>
      </c>
    </row>
    <row r="653">
      <c r="A653" s="22"/>
      <c r="D653" s="40"/>
      <c r="E653" s="41"/>
      <c r="F653" s="27" t="str">
        <f t="shared" si="1"/>
        <v/>
      </c>
    </row>
    <row r="654">
      <c r="A654" s="22"/>
      <c r="D654" s="40"/>
      <c r="E654" s="41"/>
      <c r="F654" s="27" t="str">
        <f t="shared" si="1"/>
        <v/>
      </c>
    </row>
    <row r="655">
      <c r="A655" s="22"/>
      <c r="D655" s="40"/>
      <c r="E655" s="41"/>
      <c r="F655" s="27" t="str">
        <f t="shared" si="1"/>
        <v/>
      </c>
    </row>
    <row r="656">
      <c r="A656" s="22"/>
      <c r="D656" s="40"/>
      <c r="E656" s="41"/>
      <c r="F656" s="27" t="str">
        <f t="shared" si="1"/>
        <v/>
      </c>
    </row>
    <row r="657">
      <c r="A657" s="22"/>
      <c r="D657" s="40"/>
      <c r="E657" s="41"/>
      <c r="F657" s="27" t="str">
        <f t="shared" si="1"/>
        <v/>
      </c>
    </row>
    <row r="658">
      <c r="A658" s="22"/>
      <c r="D658" s="40"/>
      <c r="E658" s="41"/>
      <c r="F658" s="27" t="str">
        <f t="shared" si="1"/>
        <v/>
      </c>
    </row>
    <row r="659">
      <c r="A659" s="22"/>
      <c r="D659" s="40"/>
      <c r="E659" s="41"/>
      <c r="F659" s="27" t="str">
        <f t="shared" si="1"/>
        <v/>
      </c>
    </row>
    <row r="660">
      <c r="A660" s="22"/>
      <c r="D660" s="40"/>
      <c r="E660" s="41"/>
      <c r="F660" s="27" t="str">
        <f t="shared" si="1"/>
        <v/>
      </c>
    </row>
    <row r="661">
      <c r="A661" s="22"/>
      <c r="D661" s="40"/>
      <c r="E661" s="41"/>
      <c r="F661" s="27" t="str">
        <f t="shared" si="1"/>
        <v/>
      </c>
    </row>
    <row r="662">
      <c r="A662" s="22"/>
      <c r="D662" s="40"/>
      <c r="E662" s="41"/>
      <c r="F662" s="27" t="str">
        <f t="shared" si="1"/>
        <v/>
      </c>
    </row>
    <row r="663">
      <c r="A663" s="22"/>
      <c r="D663" s="40"/>
      <c r="E663" s="41"/>
      <c r="F663" s="27" t="str">
        <f t="shared" si="1"/>
        <v/>
      </c>
    </row>
    <row r="664">
      <c r="A664" s="22"/>
      <c r="D664" s="40"/>
      <c r="E664" s="41"/>
      <c r="F664" s="27" t="str">
        <f t="shared" si="1"/>
        <v/>
      </c>
    </row>
    <row r="665">
      <c r="A665" s="22"/>
      <c r="D665" s="40"/>
      <c r="E665" s="41"/>
      <c r="F665" s="27" t="str">
        <f t="shared" si="1"/>
        <v/>
      </c>
    </row>
    <row r="666">
      <c r="A666" s="22"/>
      <c r="D666" s="40"/>
      <c r="E666" s="41"/>
      <c r="F666" s="27" t="str">
        <f t="shared" si="1"/>
        <v/>
      </c>
    </row>
    <row r="667">
      <c r="A667" s="22"/>
      <c r="D667" s="40"/>
      <c r="E667" s="41"/>
      <c r="F667" s="27" t="str">
        <f t="shared" si="1"/>
        <v/>
      </c>
    </row>
    <row r="668">
      <c r="A668" s="22"/>
      <c r="D668" s="40"/>
      <c r="E668" s="41"/>
      <c r="F668" s="27" t="str">
        <f t="shared" si="1"/>
        <v/>
      </c>
    </row>
    <row r="669">
      <c r="A669" s="22"/>
      <c r="D669" s="40"/>
      <c r="E669" s="41"/>
      <c r="F669" s="27" t="str">
        <f t="shared" si="1"/>
        <v/>
      </c>
    </row>
    <row r="670">
      <c r="A670" s="22"/>
      <c r="D670" s="40"/>
      <c r="E670" s="41"/>
      <c r="F670" s="27" t="str">
        <f t="shared" si="1"/>
        <v/>
      </c>
    </row>
    <row r="671">
      <c r="A671" s="22"/>
      <c r="D671" s="40"/>
      <c r="E671" s="41"/>
      <c r="F671" s="27" t="str">
        <f t="shared" si="1"/>
        <v/>
      </c>
    </row>
    <row r="672">
      <c r="A672" s="22"/>
      <c r="D672" s="40"/>
      <c r="E672" s="41"/>
      <c r="F672" s="27" t="str">
        <f t="shared" si="1"/>
        <v/>
      </c>
    </row>
    <row r="673">
      <c r="A673" s="22"/>
      <c r="D673" s="40"/>
      <c r="E673" s="41"/>
      <c r="F673" s="27" t="str">
        <f t="shared" si="1"/>
        <v/>
      </c>
    </row>
    <row r="674">
      <c r="A674" s="22"/>
      <c r="D674" s="40"/>
      <c r="E674" s="41"/>
      <c r="F674" s="27" t="str">
        <f t="shared" si="1"/>
        <v/>
      </c>
    </row>
    <row r="675">
      <c r="A675" s="22"/>
      <c r="D675" s="40"/>
      <c r="E675" s="41"/>
      <c r="F675" s="27" t="str">
        <f t="shared" si="1"/>
        <v/>
      </c>
    </row>
    <row r="676">
      <c r="A676" s="22"/>
      <c r="D676" s="40"/>
      <c r="E676" s="41"/>
      <c r="F676" s="27" t="str">
        <f t="shared" si="1"/>
        <v/>
      </c>
    </row>
    <row r="677">
      <c r="A677" s="22"/>
      <c r="D677" s="40"/>
      <c r="E677" s="41"/>
      <c r="F677" s="27" t="str">
        <f t="shared" si="1"/>
        <v/>
      </c>
    </row>
    <row r="678">
      <c r="A678" s="22"/>
      <c r="D678" s="40"/>
      <c r="E678" s="41"/>
      <c r="F678" s="27" t="str">
        <f t="shared" si="1"/>
        <v/>
      </c>
    </row>
    <row r="679">
      <c r="A679" s="22"/>
      <c r="D679" s="40"/>
      <c r="E679" s="41"/>
      <c r="F679" s="27" t="str">
        <f t="shared" si="1"/>
        <v/>
      </c>
    </row>
    <row r="680">
      <c r="A680" s="22"/>
      <c r="D680" s="40"/>
      <c r="E680" s="41"/>
      <c r="F680" s="27" t="str">
        <f t="shared" si="1"/>
        <v/>
      </c>
    </row>
    <row r="681">
      <c r="A681" s="22"/>
      <c r="D681" s="40"/>
      <c r="E681" s="41"/>
      <c r="F681" s="27" t="str">
        <f t="shared" si="1"/>
        <v/>
      </c>
    </row>
    <row r="682">
      <c r="A682" s="22"/>
      <c r="D682" s="40"/>
      <c r="E682" s="41"/>
      <c r="F682" s="27" t="str">
        <f t="shared" si="1"/>
        <v/>
      </c>
    </row>
    <row r="683">
      <c r="A683" s="22"/>
      <c r="D683" s="40"/>
      <c r="E683" s="41"/>
      <c r="F683" s="27" t="str">
        <f t="shared" si="1"/>
        <v/>
      </c>
    </row>
    <row r="684">
      <c r="A684" s="22"/>
      <c r="D684" s="40"/>
      <c r="E684" s="41"/>
      <c r="F684" s="27" t="str">
        <f t="shared" si="1"/>
        <v/>
      </c>
    </row>
    <row r="685">
      <c r="A685" s="22"/>
      <c r="D685" s="40"/>
      <c r="E685" s="41"/>
      <c r="F685" s="27" t="str">
        <f t="shared" si="1"/>
        <v/>
      </c>
    </row>
    <row r="686">
      <c r="A686" s="22"/>
      <c r="D686" s="40"/>
      <c r="E686" s="41"/>
      <c r="F686" s="27" t="str">
        <f t="shared" si="1"/>
        <v/>
      </c>
    </row>
    <row r="687">
      <c r="A687" s="22"/>
      <c r="D687" s="40"/>
      <c r="E687" s="41"/>
      <c r="F687" s="27" t="str">
        <f t="shared" si="1"/>
        <v/>
      </c>
    </row>
    <row r="688">
      <c r="A688" s="22"/>
      <c r="D688" s="40"/>
      <c r="E688" s="41"/>
      <c r="F688" s="27" t="str">
        <f t="shared" si="1"/>
        <v/>
      </c>
    </row>
    <row r="689">
      <c r="A689" s="22"/>
      <c r="D689" s="40"/>
      <c r="E689" s="41"/>
      <c r="F689" s="27" t="str">
        <f t="shared" si="1"/>
        <v/>
      </c>
    </row>
    <row r="690">
      <c r="A690" s="22"/>
      <c r="D690" s="40"/>
      <c r="E690" s="41"/>
      <c r="F690" s="27" t="str">
        <f t="shared" si="1"/>
        <v/>
      </c>
    </row>
    <row r="691">
      <c r="A691" s="22"/>
      <c r="D691" s="40"/>
      <c r="E691" s="41"/>
      <c r="F691" s="27" t="str">
        <f t="shared" si="1"/>
        <v/>
      </c>
    </row>
    <row r="692">
      <c r="A692" s="22"/>
      <c r="D692" s="40"/>
      <c r="E692" s="41"/>
      <c r="F692" s="27" t="str">
        <f t="shared" si="1"/>
        <v/>
      </c>
    </row>
    <row r="693">
      <c r="A693" s="22"/>
      <c r="D693" s="40"/>
      <c r="E693" s="41"/>
      <c r="F693" s="27" t="str">
        <f t="shared" si="1"/>
        <v/>
      </c>
    </row>
    <row r="694">
      <c r="A694" s="22"/>
      <c r="D694" s="40"/>
      <c r="E694" s="41"/>
      <c r="F694" s="27" t="str">
        <f t="shared" si="1"/>
        <v/>
      </c>
    </row>
    <row r="695">
      <c r="A695" s="22"/>
      <c r="D695" s="40"/>
      <c r="E695" s="41"/>
      <c r="F695" s="27" t="str">
        <f t="shared" si="1"/>
        <v/>
      </c>
    </row>
    <row r="696">
      <c r="A696" s="22"/>
      <c r="D696" s="40"/>
      <c r="E696" s="41"/>
      <c r="F696" s="27" t="str">
        <f t="shared" si="1"/>
        <v/>
      </c>
    </row>
    <row r="697">
      <c r="A697" s="22"/>
      <c r="D697" s="40"/>
      <c r="E697" s="41"/>
      <c r="F697" s="27" t="str">
        <f t="shared" si="1"/>
        <v/>
      </c>
    </row>
    <row r="698">
      <c r="A698" s="22"/>
      <c r="D698" s="40"/>
      <c r="E698" s="41"/>
      <c r="F698" s="27" t="str">
        <f t="shared" si="1"/>
        <v/>
      </c>
    </row>
    <row r="699">
      <c r="A699" s="22"/>
      <c r="D699" s="40"/>
      <c r="E699" s="41"/>
      <c r="F699" s="27" t="str">
        <f t="shared" si="1"/>
        <v/>
      </c>
    </row>
    <row r="700">
      <c r="A700" s="22"/>
      <c r="D700" s="40"/>
      <c r="E700" s="41"/>
      <c r="F700" s="27" t="str">
        <f t="shared" si="1"/>
        <v/>
      </c>
    </row>
    <row r="701">
      <c r="A701" s="22"/>
      <c r="D701" s="40"/>
      <c r="E701" s="41"/>
      <c r="F701" s="27" t="str">
        <f t="shared" si="1"/>
        <v/>
      </c>
    </row>
    <row r="702">
      <c r="A702" s="22"/>
      <c r="D702" s="40"/>
      <c r="E702" s="41"/>
      <c r="F702" s="27" t="str">
        <f t="shared" si="1"/>
        <v/>
      </c>
    </row>
    <row r="703">
      <c r="A703" s="22"/>
      <c r="D703" s="40"/>
      <c r="E703" s="41"/>
      <c r="F703" s="27" t="str">
        <f t="shared" si="1"/>
        <v/>
      </c>
    </row>
    <row r="704">
      <c r="A704" s="22"/>
      <c r="D704" s="40"/>
      <c r="E704" s="41"/>
      <c r="F704" s="27" t="str">
        <f t="shared" si="1"/>
        <v/>
      </c>
    </row>
    <row r="705">
      <c r="A705" s="22"/>
      <c r="D705" s="40"/>
      <c r="E705" s="41"/>
      <c r="F705" s="27" t="str">
        <f t="shared" si="1"/>
        <v/>
      </c>
    </row>
    <row r="706">
      <c r="A706" s="22"/>
      <c r="D706" s="40"/>
      <c r="E706" s="41"/>
      <c r="F706" s="27" t="str">
        <f t="shared" si="1"/>
        <v/>
      </c>
    </row>
    <row r="707">
      <c r="A707" s="22"/>
      <c r="D707" s="40"/>
      <c r="E707" s="41"/>
      <c r="F707" s="27" t="str">
        <f t="shared" si="1"/>
        <v/>
      </c>
    </row>
    <row r="708">
      <c r="A708" s="22"/>
      <c r="D708" s="40"/>
      <c r="E708" s="41"/>
      <c r="F708" s="27" t="str">
        <f t="shared" si="1"/>
        <v/>
      </c>
    </row>
    <row r="709">
      <c r="A709" s="22"/>
      <c r="D709" s="40"/>
      <c r="E709" s="41"/>
      <c r="F709" s="27" t="str">
        <f t="shared" si="1"/>
        <v/>
      </c>
    </row>
    <row r="710">
      <c r="A710" s="22"/>
      <c r="D710" s="40"/>
      <c r="E710" s="41"/>
      <c r="F710" s="27" t="str">
        <f t="shared" si="1"/>
        <v/>
      </c>
    </row>
    <row r="711">
      <c r="A711" s="22"/>
      <c r="D711" s="40"/>
      <c r="E711" s="41"/>
      <c r="F711" s="27" t="str">
        <f t="shared" si="1"/>
        <v/>
      </c>
    </row>
    <row r="712">
      <c r="A712" s="22"/>
      <c r="D712" s="40"/>
      <c r="E712" s="41"/>
      <c r="F712" s="27" t="str">
        <f t="shared" si="1"/>
        <v/>
      </c>
    </row>
    <row r="713">
      <c r="A713" s="22"/>
      <c r="D713" s="40"/>
      <c r="E713" s="41"/>
      <c r="F713" s="27" t="str">
        <f t="shared" si="1"/>
        <v/>
      </c>
    </row>
    <row r="714">
      <c r="A714" s="22"/>
      <c r="D714" s="40"/>
      <c r="E714" s="41"/>
      <c r="F714" s="27" t="str">
        <f t="shared" si="1"/>
        <v/>
      </c>
    </row>
    <row r="715">
      <c r="A715" s="22"/>
      <c r="D715" s="40"/>
      <c r="E715" s="41"/>
      <c r="F715" s="27" t="str">
        <f t="shared" si="1"/>
        <v/>
      </c>
    </row>
    <row r="716">
      <c r="A716" s="22"/>
      <c r="D716" s="40"/>
      <c r="E716" s="41"/>
      <c r="F716" s="27" t="str">
        <f t="shared" si="1"/>
        <v/>
      </c>
    </row>
    <row r="717">
      <c r="A717" s="22"/>
      <c r="D717" s="40"/>
      <c r="E717" s="41"/>
      <c r="F717" s="27" t="str">
        <f t="shared" si="1"/>
        <v/>
      </c>
    </row>
    <row r="718">
      <c r="A718" s="22"/>
      <c r="D718" s="40"/>
      <c r="E718" s="41"/>
      <c r="F718" s="27" t="str">
        <f t="shared" si="1"/>
        <v/>
      </c>
    </row>
    <row r="719">
      <c r="A719" s="22"/>
      <c r="D719" s="40"/>
      <c r="E719" s="41"/>
      <c r="F719" s="27" t="str">
        <f t="shared" si="1"/>
        <v/>
      </c>
    </row>
    <row r="720">
      <c r="A720" s="22"/>
      <c r="D720" s="40"/>
      <c r="E720" s="41"/>
      <c r="F720" s="27" t="str">
        <f t="shared" si="1"/>
        <v/>
      </c>
    </row>
    <row r="721">
      <c r="A721" s="22"/>
      <c r="D721" s="40"/>
      <c r="E721" s="41"/>
      <c r="F721" s="27" t="str">
        <f t="shared" si="1"/>
        <v/>
      </c>
    </row>
    <row r="722">
      <c r="A722" s="22"/>
      <c r="D722" s="40"/>
      <c r="E722" s="41"/>
      <c r="F722" s="27" t="str">
        <f t="shared" si="1"/>
        <v/>
      </c>
    </row>
    <row r="723">
      <c r="A723" s="22"/>
      <c r="D723" s="40"/>
      <c r="E723" s="41"/>
      <c r="F723" s="27" t="str">
        <f t="shared" si="1"/>
        <v/>
      </c>
    </row>
    <row r="724">
      <c r="A724" s="22"/>
      <c r="D724" s="40"/>
      <c r="E724" s="41"/>
      <c r="F724" s="27" t="str">
        <f t="shared" si="1"/>
        <v/>
      </c>
    </row>
    <row r="725">
      <c r="A725" s="22"/>
      <c r="D725" s="40"/>
      <c r="E725" s="41"/>
      <c r="F725" s="27" t="str">
        <f t="shared" si="1"/>
        <v/>
      </c>
    </row>
    <row r="726">
      <c r="A726" s="22"/>
      <c r="D726" s="40"/>
      <c r="E726" s="41"/>
      <c r="F726" s="27" t="str">
        <f t="shared" si="1"/>
        <v/>
      </c>
    </row>
    <row r="727">
      <c r="A727" s="22"/>
      <c r="D727" s="40"/>
      <c r="E727" s="41"/>
      <c r="F727" s="27" t="str">
        <f t="shared" si="1"/>
        <v/>
      </c>
    </row>
    <row r="728">
      <c r="A728" s="22"/>
      <c r="D728" s="40"/>
      <c r="E728" s="41"/>
      <c r="F728" s="27" t="str">
        <f t="shared" si="1"/>
        <v/>
      </c>
    </row>
    <row r="729">
      <c r="A729" s="22"/>
      <c r="D729" s="40"/>
      <c r="E729" s="41"/>
      <c r="F729" s="27" t="str">
        <f t="shared" si="1"/>
        <v/>
      </c>
    </row>
    <row r="730">
      <c r="A730" s="22"/>
      <c r="D730" s="40"/>
      <c r="E730" s="41"/>
      <c r="F730" s="27" t="str">
        <f t="shared" si="1"/>
        <v/>
      </c>
    </row>
    <row r="731">
      <c r="A731" s="22"/>
      <c r="D731" s="40"/>
      <c r="E731" s="41"/>
      <c r="F731" s="27" t="str">
        <f t="shared" si="1"/>
        <v/>
      </c>
    </row>
    <row r="732">
      <c r="A732" s="22"/>
      <c r="D732" s="40"/>
      <c r="E732" s="41"/>
      <c r="F732" s="27" t="str">
        <f t="shared" si="1"/>
        <v/>
      </c>
    </row>
    <row r="733">
      <c r="A733" s="22"/>
      <c r="D733" s="40"/>
      <c r="E733" s="41"/>
      <c r="F733" s="27" t="str">
        <f t="shared" si="1"/>
        <v/>
      </c>
    </row>
    <row r="734">
      <c r="A734" s="22"/>
      <c r="D734" s="40"/>
      <c r="E734" s="41"/>
      <c r="F734" s="27" t="str">
        <f t="shared" si="1"/>
        <v/>
      </c>
    </row>
    <row r="735">
      <c r="A735" s="22"/>
      <c r="D735" s="40"/>
      <c r="E735" s="41"/>
      <c r="F735" s="27" t="str">
        <f t="shared" si="1"/>
        <v/>
      </c>
    </row>
    <row r="736">
      <c r="A736" s="22"/>
      <c r="D736" s="40"/>
      <c r="E736" s="41"/>
      <c r="F736" s="27" t="str">
        <f t="shared" si="1"/>
        <v/>
      </c>
    </row>
    <row r="737">
      <c r="A737" s="22"/>
      <c r="D737" s="40"/>
      <c r="E737" s="41"/>
      <c r="F737" s="27" t="str">
        <f t="shared" si="1"/>
        <v/>
      </c>
    </row>
    <row r="738">
      <c r="A738" s="22"/>
      <c r="D738" s="40"/>
      <c r="E738" s="41"/>
      <c r="F738" s="27" t="str">
        <f t="shared" si="1"/>
        <v/>
      </c>
    </row>
    <row r="739">
      <c r="A739" s="22"/>
      <c r="D739" s="40"/>
      <c r="E739" s="41"/>
      <c r="F739" s="27" t="str">
        <f t="shared" si="1"/>
        <v/>
      </c>
    </row>
    <row r="740">
      <c r="A740" s="22"/>
      <c r="D740" s="40"/>
      <c r="E740" s="41"/>
      <c r="F740" s="27" t="str">
        <f t="shared" si="1"/>
        <v/>
      </c>
    </row>
    <row r="741">
      <c r="A741" s="22"/>
      <c r="D741" s="40"/>
      <c r="E741" s="41"/>
      <c r="F741" s="27" t="str">
        <f t="shared" si="1"/>
        <v/>
      </c>
    </row>
    <row r="742">
      <c r="A742" s="22"/>
      <c r="D742" s="40"/>
      <c r="E742" s="41"/>
      <c r="F742" s="27" t="str">
        <f t="shared" si="1"/>
        <v/>
      </c>
    </row>
    <row r="743">
      <c r="A743" s="22"/>
      <c r="D743" s="40"/>
      <c r="E743" s="41"/>
      <c r="F743" s="27" t="str">
        <f t="shared" si="1"/>
        <v/>
      </c>
    </row>
    <row r="744">
      <c r="A744" s="22"/>
      <c r="D744" s="40"/>
      <c r="E744" s="41"/>
      <c r="F744" s="27" t="str">
        <f t="shared" si="1"/>
        <v/>
      </c>
    </row>
    <row r="745">
      <c r="A745" s="22"/>
      <c r="D745" s="40"/>
      <c r="E745" s="41"/>
      <c r="F745" s="27" t="str">
        <f t="shared" si="1"/>
        <v/>
      </c>
    </row>
    <row r="746">
      <c r="A746" s="22"/>
      <c r="D746" s="40"/>
      <c r="E746" s="41"/>
      <c r="F746" s="27" t="str">
        <f t="shared" si="1"/>
        <v/>
      </c>
    </row>
    <row r="747">
      <c r="A747" s="22"/>
      <c r="D747" s="40"/>
      <c r="E747" s="41"/>
      <c r="F747" s="27" t="str">
        <f t="shared" si="1"/>
        <v/>
      </c>
    </row>
    <row r="748">
      <c r="A748" s="22"/>
      <c r="D748" s="40"/>
      <c r="E748" s="41"/>
      <c r="F748" s="27" t="str">
        <f t="shared" si="1"/>
        <v/>
      </c>
    </row>
    <row r="749">
      <c r="A749" s="22"/>
      <c r="D749" s="40"/>
      <c r="E749" s="41"/>
      <c r="F749" s="27" t="str">
        <f t="shared" si="1"/>
        <v/>
      </c>
    </row>
    <row r="750">
      <c r="A750" s="22"/>
      <c r="D750" s="40"/>
      <c r="E750" s="41"/>
      <c r="F750" s="27" t="str">
        <f t="shared" si="1"/>
        <v/>
      </c>
    </row>
    <row r="751">
      <c r="A751" s="22"/>
      <c r="D751" s="40"/>
      <c r="E751" s="41"/>
      <c r="F751" s="27" t="str">
        <f t="shared" si="1"/>
        <v/>
      </c>
    </row>
    <row r="752">
      <c r="A752" s="22"/>
      <c r="D752" s="40"/>
      <c r="E752" s="41"/>
      <c r="F752" s="27" t="str">
        <f t="shared" si="1"/>
        <v/>
      </c>
    </row>
    <row r="753">
      <c r="A753" s="22"/>
      <c r="D753" s="40"/>
      <c r="E753" s="41"/>
      <c r="F753" s="27" t="str">
        <f t="shared" si="1"/>
        <v/>
      </c>
    </row>
    <row r="754">
      <c r="A754" s="22"/>
      <c r="D754" s="40"/>
      <c r="E754" s="41"/>
      <c r="F754" s="27" t="str">
        <f t="shared" si="1"/>
        <v/>
      </c>
    </row>
    <row r="755">
      <c r="A755" s="22"/>
      <c r="D755" s="40"/>
      <c r="E755" s="41"/>
      <c r="F755" s="27" t="str">
        <f t="shared" si="1"/>
        <v/>
      </c>
    </row>
    <row r="756">
      <c r="A756" s="22"/>
      <c r="D756" s="40"/>
      <c r="E756" s="41"/>
      <c r="F756" s="27" t="str">
        <f t="shared" si="1"/>
        <v/>
      </c>
    </row>
    <row r="757">
      <c r="A757" s="22"/>
      <c r="D757" s="40"/>
      <c r="E757" s="41"/>
      <c r="F757" s="27" t="str">
        <f t="shared" si="1"/>
        <v/>
      </c>
    </row>
    <row r="758">
      <c r="A758" s="22"/>
      <c r="D758" s="40"/>
      <c r="E758" s="41"/>
      <c r="F758" s="27" t="str">
        <f t="shared" si="1"/>
        <v/>
      </c>
    </row>
    <row r="759">
      <c r="A759" s="22"/>
      <c r="D759" s="40"/>
      <c r="E759" s="41"/>
      <c r="F759" s="27" t="str">
        <f t="shared" si="1"/>
        <v/>
      </c>
    </row>
    <row r="760">
      <c r="A760" s="22"/>
      <c r="D760" s="40"/>
      <c r="E760" s="41"/>
      <c r="F760" s="27" t="str">
        <f t="shared" si="1"/>
        <v/>
      </c>
    </row>
    <row r="761">
      <c r="A761" s="22"/>
      <c r="D761" s="40"/>
      <c r="E761" s="41"/>
      <c r="F761" s="27" t="str">
        <f t="shared" si="1"/>
        <v/>
      </c>
    </row>
    <row r="762">
      <c r="A762" s="22"/>
      <c r="D762" s="40"/>
      <c r="E762" s="41"/>
      <c r="F762" s="27" t="str">
        <f t="shared" si="1"/>
        <v/>
      </c>
    </row>
    <row r="763">
      <c r="A763" s="22"/>
      <c r="D763" s="40"/>
      <c r="E763" s="41"/>
      <c r="F763" s="27" t="str">
        <f t="shared" si="1"/>
        <v/>
      </c>
    </row>
    <row r="764">
      <c r="A764" s="22"/>
      <c r="D764" s="40"/>
      <c r="E764" s="41"/>
      <c r="F764" s="27" t="str">
        <f t="shared" si="1"/>
        <v/>
      </c>
    </row>
    <row r="765">
      <c r="A765" s="22"/>
      <c r="D765" s="40"/>
      <c r="E765" s="41"/>
      <c r="F765" s="27" t="str">
        <f t="shared" si="1"/>
        <v/>
      </c>
    </row>
    <row r="766">
      <c r="A766" s="22"/>
      <c r="D766" s="40"/>
      <c r="E766" s="41"/>
      <c r="F766" s="27" t="str">
        <f t="shared" si="1"/>
        <v/>
      </c>
    </row>
    <row r="767">
      <c r="A767" s="22"/>
      <c r="D767" s="40"/>
      <c r="E767" s="41"/>
      <c r="F767" s="27" t="str">
        <f t="shared" si="1"/>
        <v/>
      </c>
    </row>
    <row r="768">
      <c r="A768" s="22"/>
      <c r="D768" s="40"/>
      <c r="E768" s="41"/>
      <c r="F768" s="27" t="str">
        <f t="shared" si="1"/>
        <v/>
      </c>
    </row>
    <row r="769">
      <c r="A769" s="22"/>
      <c r="D769" s="40"/>
      <c r="E769" s="41"/>
      <c r="F769" s="27" t="str">
        <f t="shared" si="1"/>
        <v/>
      </c>
    </row>
    <row r="770">
      <c r="A770" s="22"/>
      <c r="D770" s="40"/>
      <c r="E770" s="41"/>
      <c r="F770" s="27" t="str">
        <f t="shared" si="1"/>
        <v/>
      </c>
    </row>
    <row r="771">
      <c r="A771" s="22"/>
      <c r="D771" s="40"/>
      <c r="E771" s="41"/>
      <c r="F771" s="27" t="str">
        <f t="shared" si="1"/>
        <v/>
      </c>
    </row>
    <row r="772">
      <c r="A772" s="22"/>
      <c r="D772" s="40"/>
      <c r="E772" s="41"/>
      <c r="F772" s="27" t="str">
        <f t="shared" si="1"/>
        <v/>
      </c>
    </row>
    <row r="773">
      <c r="A773" s="22"/>
      <c r="D773" s="40"/>
      <c r="E773" s="41"/>
      <c r="F773" s="27" t="str">
        <f t="shared" si="1"/>
        <v/>
      </c>
    </row>
    <row r="774">
      <c r="A774" s="22"/>
      <c r="D774" s="40"/>
      <c r="E774" s="41"/>
      <c r="F774" s="27" t="str">
        <f t="shared" si="1"/>
        <v/>
      </c>
    </row>
    <row r="775">
      <c r="A775" s="22"/>
      <c r="D775" s="40"/>
      <c r="E775" s="41"/>
      <c r="F775" s="27" t="str">
        <f t="shared" si="1"/>
        <v/>
      </c>
    </row>
    <row r="776">
      <c r="A776" s="22"/>
      <c r="D776" s="40"/>
      <c r="E776" s="41"/>
      <c r="F776" s="27" t="str">
        <f t="shared" si="1"/>
        <v/>
      </c>
    </row>
    <row r="777">
      <c r="A777" s="22"/>
      <c r="D777" s="40"/>
      <c r="E777" s="41"/>
      <c r="F777" s="27" t="str">
        <f t="shared" si="1"/>
        <v/>
      </c>
    </row>
    <row r="778">
      <c r="A778" s="22"/>
      <c r="D778" s="40"/>
      <c r="E778" s="41"/>
      <c r="F778" s="27" t="str">
        <f t="shared" si="1"/>
        <v/>
      </c>
    </row>
    <row r="779">
      <c r="A779" s="22"/>
      <c r="D779" s="40"/>
      <c r="E779" s="41"/>
      <c r="F779" s="27" t="str">
        <f t="shared" si="1"/>
        <v/>
      </c>
    </row>
    <row r="780">
      <c r="A780" s="22"/>
      <c r="D780" s="40"/>
      <c r="E780" s="41"/>
      <c r="F780" s="27" t="str">
        <f t="shared" si="1"/>
        <v/>
      </c>
    </row>
    <row r="781">
      <c r="A781" s="22"/>
      <c r="D781" s="40"/>
      <c r="E781" s="41"/>
      <c r="F781" s="27" t="str">
        <f t="shared" si="1"/>
        <v/>
      </c>
    </row>
    <row r="782">
      <c r="A782" s="22"/>
      <c r="D782" s="40"/>
      <c r="E782" s="41"/>
      <c r="F782" s="27" t="str">
        <f t="shared" si="1"/>
        <v/>
      </c>
    </row>
    <row r="783">
      <c r="A783" s="22"/>
      <c r="D783" s="40"/>
      <c r="E783" s="41"/>
      <c r="F783" s="27" t="str">
        <f t="shared" si="1"/>
        <v/>
      </c>
    </row>
    <row r="784">
      <c r="A784" s="22"/>
      <c r="D784" s="40"/>
      <c r="E784" s="41"/>
      <c r="F784" s="27" t="str">
        <f t="shared" si="1"/>
        <v/>
      </c>
    </row>
    <row r="785">
      <c r="A785" s="22"/>
      <c r="D785" s="40"/>
      <c r="E785" s="41"/>
      <c r="F785" s="27" t="str">
        <f t="shared" si="1"/>
        <v/>
      </c>
    </row>
    <row r="786">
      <c r="A786" s="22"/>
      <c r="D786" s="40"/>
      <c r="E786" s="41"/>
      <c r="F786" s="27" t="str">
        <f t="shared" si="1"/>
        <v/>
      </c>
    </row>
    <row r="787">
      <c r="A787" s="22"/>
      <c r="D787" s="40"/>
      <c r="E787" s="41"/>
      <c r="F787" s="27" t="str">
        <f t="shared" si="1"/>
        <v/>
      </c>
    </row>
    <row r="788">
      <c r="A788" s="22"/>
      <c r="D788" s="40"/>
      <c r="E788" s="41"/>
      <c r="F788" s="27" t="str">
        <f t="shared" si="1"/>
        <v/>
      </c>
    </row>
    <row r="789">
      <c r="A789" s="22"/>
      <c r="D789" s="40"/>
      <c r="E789" s="41"/>
      <c r="F789" s="27" t="str">
        <f t="shared" si="1"/>
        <v/>
      </c>
    </row>
    <row r="790">
      <c r="A790" s="22"/>
      <c r="D790" s="40"/>
      <c r="E790" s="41"/>
      <c r="F790" s="27" t="str">
        <f t="shared" si="1"/>
        <v/>
      </c>
    </row>
    <row r="791">
      <c r="A791" s="22"/>
      <c r="D791" s="40"/>
      <c r="E791" s="41"/>
      <c r="F791" s="27" t="str">
        <f t="shared" si="1"/>
        <v/>
      </c>
    </row>
    <row r="792">
      <c r="A792" s="22"/>
      <c r="D792" s="40"/>
      <c r="E792" s="41"/>
      <c r="F792" s="27" t="str">
        <f t="shared" si="1"/>
        <v/>
      </c>
    </row>
    <row r="793">
      <c r="A793" s="22"/>
      <c r="D793" s="40"/>
      <c r="E793" s="41"/>
      <c r="F793" s="27" t="str">
        <f t="shared" si="1"/>
        <v/>
      </c>
    </row>
    <row r="794">
      <c r="A794" s="22"/>
      <c r="D794" s="40"/>
      <c r="E794" s="41"/>
      <c r="F794" s="27" t="str">
        <f t="shared" si="1"/>
        <v/>
      </c>
    </row>
    <row r="795">
      <c r="A795" s="22"/>
      <c r="D795" s="40"/>
      <c r="E795" s="41"/>
      <c r="F795" s="27" t="str">
        <f t="shared" si="1"/>
        <v/>
      </c>
    </row>
    <row r="796">
      <c r="A796" s="22"/>
      <c r="D796" s="40"/>
      <c r="E796" s="41"/>
      <c r="F796" s="27" t="str">
        <f t="shared" si="1"/>
        <v/>
      </c>
    </row>
    <row r="797">
      <c r="A797" s="22"/>
      <c r="D797" s="40"/>
      <c r="E797" s="41"/>
      <c r="F797" s="27" t="str">
        <f t="shared" si="1"/>
        <v/>
      </c>
    </row>
    <row r="798">
      <c r="A798" s="22"/>
      <c r="D798" s="40"/>
      <c r="E798" s="41"/>
      <c r="F798" s="27" t="str">
        <f t="shared" si="1"/>
        <v/>
      </c>
    </row>
    <row r="799">
      <c r="A799" s="22"/>
      <c r="D799" s="40"/>
      <c r="E799" s="41"/>
      <c r="F799" s="27" t="str">
        <f t="shared" si="1"/>
        <v/>
      </c>
    </row>
    <row r="800">
      <c r="A800" s="22"/>
      <c r="D800" s="40"/>
      <c r="E800" s="41"/>
      <c r="F800" s="27" t="str">
        <f t="shared" si="1"/>
        <v/>
      </c>
    </row>
    <row r="801">
      <c r="A801" s="22"/>
      <c r="D801" s="40"/>
      <c r="E801" s="41"/>
      <c r="F801" s="27" t="str">
        <f t="shared" si="1"/>
        <v/>
      </c>
    </row>
    <row r="802">
      <c r="A802" s="22"/>
      <c r="D802" s="40"/>
      <c r="E802" s="41"/>
      <c r="F802" s="27" t="str">
        <f t="shared" si="1"/>
        <v/>
      </c>
    </row>
    <row r="803">
      <c r="A803" s="22"/>
      <c r="D803" s="40"/>
      <c r="E803" s="41"/>
      <c r="F803" s="27" t="str">
        <f t="shared" si="1"/>
        <v/>
      </c>
    </row>
    <row r="804">
      <c r="A804" s="22"/>
      <c r="D804" s="40"/>
      <c r="E804" s="41"/>
      <c r="F804" s="27" t="str">
        <f t="shared" si="1"/>
        <v/>
      </c>
    </row>
    <row r="805">
      <c r="A805" s="22"/>
      <c r="D805" s="40"/>
      <c r="E805" s="41"/>
      <c r="F805" s="27" t="str">
        <f t="shared" si="1"/>
        <v/>
      </c>
    </row>
    <row r="806">
      <c r="A806" s="22"/>
      <c r="D806" s="40"/>
      <c r="E806" s="41"/>
      <c r="F806" s="27" t="str">
        <f t="shared" si="1"/>
        <v/>
      </c>
    </row>
    <row r="807">
      <c r="A807" s="22"/>
      <c r="D807" s="40"/>
      <c r="E807" s="41"/>
      <c r="F807" s="27" t="str">
        <f t="shared" si="1"/>
        <v/>
      </c>
    </row>
    <row r="808">
      <c r="A808" s="22"/>
      <c r="D808" s="40"/>
      <c r="E808" s="41"/>
      <c r="F808" s="27" t="str">
        <f t="shared" si="1"/>
        <v/>
      </c>
    </row>
    <row r="809">
      <c r="A809" s="22"/>
      <c r="D809" s="40"/>
      <c r="E809" s="41"/>
      <c r="F809" s="27" t="str">
        <f t="shared" si="1"/>
        <v/>
      </c>
    </row>
    <row r="810">
      <c r="A810" s="22"/>
      <c r="D810" s="40"/>
      <c r="E810" s="41"/>
      <c r="F810" s="27" t="str">
        <f t="shared" si="1"/>
        <v/>
      </c>
    </row>
    <row r="811">
      <c r="A811" s="22"/>
      <c r="D811" s="40"/>
      <c r="E811" s="41"/>
      <c r="F811" s="27" t="str">
        <f t="shared" si="1"/>
        <v/>
      </c>
    </row>
    <row r="812">
      <c r="A812" s="22"/>
      <c r="D812" s="40"/>
      <c r="E812" s="41"/>
      <c r="F812" s="27" t="str">
        <f t="shared" si="1"/>
        <v/>
      </c>
    </row>
    <row r="813">
      <c r="A813" s="22"/>
      <c r="D813" s="40"/>
      <c r="E813" s="41"/>
      <c r="F813" s="27" t="str">
        <f t="shared" si="1"/>
        <v/>
      </c>
    </row>
    <row r="814">
      <c r="A814" s="22"/>
      <c r="D814" s="40"/>
      <c r="E814" s="41"/>
      <c r="F814" s="27" t="str">
        <f t="shared" si="1"/>
        <v/>
      </c>
    </row>
    <row r="815">
      <c r="A815" s="22"/>
      <c r="D815" s="40"/>
      <c r="E815" s="41"/>
      <c r="F815" s="27" t="str">
        <f t="shared" si="1"/>
        <v/>
      </c>
    </row>
    <row r="816">
      <c r="A816" s="22"/>
      <c r="D816" s="40"/>
      <c r="E816" s="41"/>
      <c r="F816" s="27" t="str">
        <f t="shared" si="1"/>
        <v/>
      </c>
    </row>
    <row r="817">
      <c r="A817" s="22"/>
      <c r="D817" s="40"/>
      <c r="E817" s="41"/>
      <c r="F817" s="27" t="str">
        <f t="shared" si="1"/>
        <v/>
      </c>
    </row>
    <row r="818">
      <c r="A818" s="22"/>
      <c r="D818" s="40"/>
      <c r="E818" s="41"/>
      <c r="F818" s="27" t="str">
        <f t="shared" si="1"/>
        <v/>
      </c>
    </row>
    <row r="819">
      <c r="A819" s="22"/>
      <c r="D819" s="40"/>
      <c r="E819" s="41"/>
      <c r="F819" s="27" t="str">
        <f t="shared" si="1"/>
        <v/>
      </c>
    </row>
    <row r="820">
      <c r="A820" s="22"/>
      <c r="D820" s="40"/>
      <c r="E820" s="41"/>
      <c r="F820" s="27" t="str">
        <f t="shared" si="1"/>
        <v/>
      </c>
    </row>
    <row r="821">
      <c r="A821" s="22"/>
      <c r="D821" s="40"/>
      <c r="E821" s="41"/>
      <c r="F821" s="27" t="str">
        <f t="shared" si="1"/>
        <v/>
      </c>
    </row>
    <row r="822">
      <c r="A822" s="22"/>
      <c r="D822" s="40"/>
      <c r="E822" s="41"/>
      <c r="F822" s="27" t="str">
        <f t="shared" si="1"/>
        <v/>
      </c>
    </row>
    <row r="823">
      <c r="A823" s="22"/>
      <c r="D823" s="40"/>
      <c r="E823" s="41"/>
      <c r="F823" s="27" t="str">
        <f t="shared" si="1"/>
        <v/>
      </c>
    </row>
    <row r="824">
      <c r="A824" s="22"/>
      <c r="D824" s="40"/>
      <c r="E824" s="41"/>
      <c r="F824" s="27" t="str">
        <f t="shared" si="1"/>
        <v/>
      </c>
    </row>
    <row r="825">
      <c r="A825" s="22"/>
      <c r="D825" s="40"/>
      <c r="E825" s="41"/>
      <c r="F825" s="27" t="str">
        <f t="shared" si="1"/>
        <v/>
      </c>
    </row>
    <row r="826">
      <c r="A826" s="22"/>
      <c r="D826" s="40"/>
      <c r="E826" s="41"/>
      <c r="F826" s="27" t="str">
        <f t="shared" si="1"/>
        <v/>
      </c>
    </row>
    <row r="827">
      <c r="A827" s="22"/>
      <c r="D827" s="40"/>
      <c r="E827" s="41"/>
      <c r="F827" s="27" t="str">
        <f t="shared" si="1"/>
        <v/>
      </c>
    </row>
    <row r="828">
      <c r="A828" s="22"/>
      <c r="D828" s="40"/>
      <c r="E828" s="41"/>
      <c r="F828" s="27" t="str">
        <f t="shared" si="1"/>
        <v/>
      </c>
    </row>
    <row r="829">
      <c r="A829" s="22"/>
      <c r="D829" s="40"/>
      <c r="E829" s="41"/>
      <c r="F829" s="27" t="str">
        <f t="shared" si="1"/>
        <v/>
      </c>
    </row>
    <row r="830">
      <c r="A830" s="22"/>
      <c r="D830" s="40"/>
      <c r="E830" s="41"/>
      <c r="F830" s="27" t="str">
        <f t="shared" si="1"/>
        <v/>
      </c>
    </row>
    <row r="831">
      <c r="A831" s="22"/>
      <c r="D831" s="40"/>
      <c r="E831" s="41"/>
      <c r="F831" s="27" t="str">
        <f t="shared" si="1"/>
        <v/>
      </c>
    </row>
    <row r="832">
      <c r="A832" s="22"/>
      <c r="D832" s="40"/>
      <c r="E832" s="41"/>
      <c r="F832" s="27" t="str">
        <f t="shared" si="1"/>
        <v/>
      </c>
    </row>
    <row r="833">
      <c r="A833" s="22"/>
      <c r="D833" s="40"/>
      <c r="E833" s="41"/>
      <c r="F833" s="27" t="str">
        <f t="shared" si="1"/>
        <v/>
      </c>
    </row>
    <row r="834">
      <c r="A834" s="22"/>
      <c r="D834" s="40"/>
      <c r="E834" s="41"/>
      <c r="F834" s="27" t="str">
        <f t="shared" si="1"/>
        <v/>
      </c>
    </row>
    <row r="835">
      <c r="A835" s="22"/>
      <c r="D835" s="40"/>
      <c r="E835" s="41"/>
      <c r="F835" s="27" t="str">
        <f t="shared" si="1"/>
        <v/>
      </c>
    </row>
    <row r="836">
      <c r="A836" s="22"/>
      <c r="D836" s="40"/>
      <c r="E836" s="41"/>
      <c r="F836" s="27" t="str">
        <f t="shared" si="1"/>
        <v/>
      </c>
    </row>
    <row r="837">
      <c r="A837" s="22"/>
      <c r="D837" s="40"/>
      <c r="E837" s="41"/>
      <c r="F837" s="27" t="str">
        <f t="shared" si="1"/>
        <v/>
      </c>
    </row>
    <row r="838">
      <c r="A838" s="22"/>
      <c r="D838" s="40"/>
      <c r="E838" s="41"/>
      <c r="F838" s="27" t="str">
        <f t="shared" si="1"/>
        <v/>
      </c>
    </row>
    <row r="839">
      <c r="A839" s="22"/>
      <c r="D839" s="40"/>
      <c r="E839" s="41"/>
      <c r="F839" s="27" t="str">
        <f t="shared" si="1"/>
        <v/>
      </c>
    </row>
    <row r="840">
      <c r="A840" s="22"/>
      <c r="D840" s="40"/>
      <c r="E840" s="41"/>
      <c r="F840" s="27" t="str">
        <f t="shared" si="1"/>
        <v/>
      </c>
    </row>
    <row r="841">
      <c r="A841" s="22"/>
      <c r="D841" s="40"/>
      <c r="E841" s="41"/>
      <c r="F841" s="27" t="str">
        <f t="shared" si="1"/>
        <v/>
      </c>
    </row>
    <row r="842">
      <c r="A842" s="22"/>
      <c r="D842" s="40"/>
      <c r="E842" s="41"/>
      <c r="F842" s="27" t="str">
        <f t="shared" si="1"/>
        <v/>
      </c>
    </row>
    <row r="843">
      <c r="A843" s="22"/>
      <c r="D843" s="40"/>
      <c r="E843" s="41"/>
      <c r="F843" s="27" t="str">
        <f t="shared" si="1"/>
        <v/>
      </c>
    </row>
    <row r="844">
      <c r="A844" s="22"/>
      <c r="D844" s="40"/>
      <c r="E844" s="41"/>
      <c r="F844" s="27" t="str">
        <f t="shared" si="1"/>
        <v/>
      </c>
    </row>
    <row r="845">
      <c r="A845" s="22"/>
      <c r="D845" s="40"/>
      <c r="E845" s="41"/>
      <c r="F845" s="27" t="str">
        <f t="shared" si="1"/>
        <v/>
      </c>
    </row>
    <row r="846">
      <c r="A846" s="22"/>
      <c r="D846" s="40"/>
      <c r="E846" s="41"/>
      <c r="F846" s="27" t="str">
        <f t="shared" si="1"/>
        <v/>
      </c>
    </row>
    <row r="847">
      <c r="A847" s="22"/>
      <c r="D847" s="40"/>
      <c r="E847" s="41"/>
      <c r="F847" s="27" t="str">
        <f t="shared" si="1"/>
        <v/>
      </c>
    </row>
    <row r="848">
      <c r="A848" s="22"/>
      <c r="D848" s="40"/>
      <c r="E848" s="41"/>
      <c r="F848" s="27" t="str">
        <f t="shared" si="1"/>
        <v/>
      </c>
    </row>
    <row r="849">
      <c r="A849" s="22"/>
      <c r="D849" s="40"/>
      <c r="E849" s="41"/>
      <c r="F849" s="27" t="str">
        <f t="shared" si="1"/>
        <v/>
      </c>
    </row>
    <row r="850">
      <c r="A850" s="22"/>
      <c r="D850" s="40"/>
      <c r="E850" s="41"/>
      <c r="F850" s="27" t="str">
        <f t="shared" si="1"/>
        <v/>
      </c>
    </row>
    <row r="851">
      <c r="A851" s="22"/>
      <c r="D851" s="40"/>
      <c r="E851" s="41"/>
      <c r="F851" s="27" t="str">
        <f t="shared" si="1"/>
        <v/>
      </c>
    </row>
    <row r="852">
      <c r="A852" s="22"/>
      <c r="D852" s="40"/>
      <c r="E852" s="41"/>
      <c r="F852" s="27" t="str">
        <f t="shared" si="1"/>
        <v/>
      </c>
    </row>
    <row r="853">
      <c r="A853" s="22"/>
      <c r="D853" s="40"/>
      <c r="E853" s="41"/>
      <c r="F853" s="27" t="str">
        <f t="shared" si="1"/>
        <v/>
      </c>
    </row>
    <row r="854">
      <c r="A854" s="22"/>
      <c r="D854" s="40"/>
      <c r="E854" s="41"/>
      <c r="F854" s="27" t="str">
        <f t="shared" si="1"/>
        <v/>
      </c>
    </row>
    <row r="855">
      <c r="A855" s="22"/>
      <c r="D855" s="40"/>
      <c r="E855" s="41"/>
      <c r="F855" s="27" t="str">
        <f t="shared" si="1"/>
        <v/>
      </c>
    </row>
    <row r="856">
      <c r="A856" s="22"/>
      <c r="D856" s="40"/>
      <c r="E856" s="41"/>
      <c r="F856" s="27" t="str">
        <f t="shared" si="1"/>
        <v/>
      </c>
    </row>
    <row r="857">
      <c r="A857" s="22"/>
      <c r="D857" s="40"/>
      <c r="E857" s="41"/>
      <c r="F857" s="27" t="str">
        <f t="shared" si="1"/>
        <v/>
      </c>
    </row>
    <row r="858">
      <c r="A858" s="22"/>
      <c r="D858" s="40"/>
      <c r="E858" s="41"/>
      <c r="F858" s="27" t="str">
        <f t="shared" si="1"/>
        <v/>
      </c>
    </row>
    <row r="859">
      <c r="A859" s="22"/>
      <c r="D859" s="40"/>
      <c r="E859" s="41"/>
      <c r="F859" s="27" t="str">
        <f t="shared" si="1"/>
        <v/>
      </c>
    </row>
    <row r="860">
      <c r="A860" s="22"/>
      <c r="D860" s="40"/>
      <c r="E860" s="41"/>
      <c r="F860" s="27" t="str">
        <f t="shared" si="1"/>
        <v/>
      </c>
    </row>
    <row r="861">
      <c r="A861" s="22"/>
      <c r="D861" s="40"/>
      <c r="E861" s="41"/>
      <c r="F861" s="27" t="str">
        <f t="shared" si="1"/>
        <v/>
      </c>
    </row>
    <row r="862">
      <c r="A862" s="22"/>
      <c r="D862" s="40"/>
      <c r="E862" s="41"/>
      <c r="F862" s="27" t="str">
        <f t="shared" si="1"/>
        <v/>
      </c>
    </row>
    <row r="863">
      <c r="A863" s="22"/>
      <c r="D863" s="40"/>
      <c r="E863" s="41"/>
      <c r="F863" s="27" t="str">
        <f t="shared" si="1"/>
        <v/>
      </c>
    </row>
    <row r="864">
      <c r="A864" s="22"/>
      <c r="D864" s="40"/>
      <c r="E864" s="41"/>
      <c r="F864" s="27" t="str">
        <f t="shared" si="1"/>
        <v/>
      </c>
    </row>
    <row r="865">
      <c r="A865" s="22"/>
      <c r="D865" s="40"/>
      <c r="E865" s="41"/>
      <c r="F865" s="27" t="str">
        <f t="shared" si="1"/>
        <v/>
      </c>
    </row>
    <row r="866">
      <c r="A866" s="22"/>
      <c r="D866" s="40"/>
      <c r="E866" s="41"/>
      <c r="F866" s="27" t="str">
        <f t="shared" si="1"/>
        <v/>
      </c>
    </row>
    <row r="867">
      <c r="A867" s="22"/>
      <c r="D867" s="40"/>
      <c r="E867" s="41"/>
      <c r="F867" s="27" t="str">
        <f t="shared" si="1"/>
        <v/>
      </c>
    </row>
    <row r="868">
      <c r="A868" s="22"/>
      <c r="D868" s="40"/>
      <c r="E868" s="41"/>
      <c r="F868" s="27" t="str">
        <f t="shared" si="1"/>
        <v/>
      </c>
    </row>
    <row r="869">
      <c r="A869" s="22"/>
      <c r="D869" s="40"/>
      <c r="E869" s="41"/>
      <c r="F869" s="27" t="str">
        <f t="shared" si="1"/>
        <v/>
      </c>
    </row>
    <row r="870">
      <c r="A870" s="22"/>
      <c r="D870" s="40"/>
      <c r="E870" s="41"/>
      <c r="F870" s="27" t="str">
        <f t="shared" si="1"/>
        <v/>
      </c>
    </row>
    <row r="871">
      <c r="A871" s="22"/>
      <c r="D871" s="40"/>
      <c r="E871" s="41"/>
      <c r="F871" s="27" t="str">
        <f t="shared" si="1"/>
        <v/>
      </c>
    </row>
    <row r="872">
      <c r="A872" s="22"/>
      <c r="D872" s="40"/>
      <c r="E872" s="41"/>
      <c r="F872" s="27" t="str">
        <f t="shared" si="1"/>
        <v/>
      </c>
    </row>
    <row r="873">
      <c r="A873" s="22"/>
      <c r="D873" s="40"/>
      <c r="E873" s="41"/>
      <c r="F873" s="27" t="str">
        <f t="shared" si="1"/>
        <v/>
      </c>
    </row>
    <row r="874">
      <c r="A874" s="22"/>
      <c r="D874" s="40"/>
      <c r="E874" s="41"/>
      <c r="F874" s="27" t="str">
        <f t="shared" si="1"/>
        <v/>
      </c>
    </row>
    <row r="875">
      <c r="A875" s="22"/>
      <c r="D875" s="40"/>
      <c r="E875" s="41"/>
      <c r="F875" s="27" t="str">
        <f t="shared" si="1"/>
        <v/>
      </c>
    </row>
    <row r="876">
      <c r="A876" s="22"/>
      <c r="D876" s="40"/>
      <c r="E876" s="41"/>
      <c r="F876" s="27" t="str">
        <f t="shared" si="1"/>
        <v/>
      </c>
    </row>
    <row r="877">
      <c r="A877" s="22"/>
      <c r="D877" s="40"/>
      <c r="E877" s="41"/>
      <c r="F877" s="27" t="str">
        <f t="shared" si="1"/>
        <v/>
      </c>
    </row>
    <row r="878">
      <c r="A878" s="22"/>
      <c r="D878" s="40"/>
      <c r="E878" s="41"/>
      <c r="F878" s="27" t="str">
        <f t="shared" si="1"/>
        <v/>
      </c>
    </row>
    <row r="879">
      <c r="A879" s="22"/>
      <c r="D879" s="40"/>
      <c r="E879" s="41"/>
      <c r="F879" s="27" t="str">
        <f t="shared" si="1"/>
        <v/>
      </c>
    </row>
    <row r="880">
      <c r="A880" s="22"/>
      <c r="D880" s="40"/>
      <c r="E880" s="41"/>
      <c r="F880" s="27" t="str">
        <f t="shared" si="1"/>
        <v/>
      </c>
    </row>
    <row r="881">
      <c r="A881" s="22"/>
      <c r="D881" s="40"/>
      <c r="E881" s="41"/>
      <c r="F881" s="27" t="str">
        <f t="shared" si="1"/>
        <v/>
      </c>
    </row>
    <row r="882">
      <c r="A882" s="22"/>
      <c r="D882" s="40"/>
      <c r="E882" s="41"/>
      <c r="F882" s="27" t="str">
        <f t="shared" si="1"/>
        <v/>
      </c>
    </row>
    <row r="883">
      <c r="A883" s="22"/>
      <c r="D883" s="40"/>
      <c r="E883" s="41"/>
      <c r="F883" s="27" t="str">
        <f t="shared" si="1"/>
        <v/>
      </c>
    </row>
    <row r="884">
      <c r="A884" s="22"/>
      <c r="D884" s="40"/>
      <c r="E884" s="41"/>
      <c r="F884" s="27" t="str">
        <f t="shared" si="1"/>
        <v/>
      </c>
    </row>
    <row r="885">
      <c r="A885" s="22"/>
      <c r="D885" s="40"/>
      <c r="E885" s="41"/>
      <c r="F885" s="27" t="str">
        <f t="shared" si="1"/>
        <v/>
      </c>
    </row>
    <row r="886">
      <c r="A886" s="22"/>
      <c r="D886" s="40"/>
      <c r="E886" s="41"/>
      <c r="F886" s="27" t="str">
        <f t="shared" si="1"/>
        <v/>
      </c>
    </row>
    <row r="887">
      <c r="A887" s="22"/>
      <c r="D887" s="40"/>
      <c r="E887" s="41"/>
      <c r="F887" s="27" t="str">
        <f t="shared" si="1"/>
        <v/>
      </c>
    </row>
    <row r="888">
      <c r="A888" s="22"/>
      <c r="D888" s="40"/>
      <c r="E888" s="41"/>
      <c r="F888" s="27" t="str">
        <f t="shared" si="1"/>
        <v/>
      </c>
    </row>
    <row r="889">
      <c r="A889" s="22"/>
      <c r="D889" s="40"/>
      <c r="E889" s="41"/>
      <c r="F889" s="27" t="str">
        <f t="shared" si="1"/>
        <v/>
      </c>
    </row>
    <row r="890">
      <c r="A890" s="22"/>
      <c r="D890" s="40"/>
      <c r="E890" s="41"/>
      <c r="F890" s="27" t="str">
        <f t="shared" si="1"/>
        <v/>
      </c>
    </row>
    <row r="891">
      <c r="A891" s="22"/>
      <c r="D891" s="40"/>
      <c r="E891" s="41"/>
      <c r="F891" s="27" t="str">
        <f t="shared" si="1"/>
        <v/>
      </c>
    </row>
    <row r="892">
      <c r="A892" s="22"/>
      <c r="D892" s="40"/>
      <c r="E892" s="41"/>
      <c r="F892" s="27" t="str">
        <f t="shared" si="1"/>
        <v/>
      </c>
    </row>
    <row r="893">
      <c r="A893" s="22"/>
      <c r="D893" s="40"/>
      <c r="E893" s="41"/>
      <c r="F893" s="27" t="str">
        <f t="shared" si="1"/>
        <v/>
      </c>
    </row>
    <row r="894">
      <c r="A894" s="22"/>
      <c r="D894" s="40"/>
      <c r="E894" s="41"/>
      <c r="F894" s="27" t="str">
        <f t="shared" si="1"/>
        <v/>
      </c>
    </row>
    <row r="895">
      <c r="A895" s="22"/>
      <c r="D895" s="40"/>
      <c r="E895" s="41"/>
      <c r="F895" s="27" t="str">
        <f t="shared" si="1"/>
        <v/>
      </c>
    </row>
    <row r="896">
      <c r="A896" s="22"/>
      <c r="D896" s="40"/>
      <c r="E896" s="41"/>
      <c r="F896" s="27" t="str">
        <f t="shared" si="1"/>
        <v/>
      </c>
    </row>
    <row r="897">
      <c r="A897" s="22"/>
      <c r="D897" s="40"/>
      <c r="E897" s="41"/>
      <c r="F897" s="27" t="str">
        <f t="shared" si="1"/>
        <v/>
      </c>
    </row>
    <row r="898">
      <c r="A898" s="22"/>
      <c r="D898" s="40"/>
      <c r="E898" s="41"/>
      <c r="F898" s="27" t="str">
        <f t="shared" si="1"/>
        <v/>
      </c>
    </row>
    <row r="899">
      <c r="A899" s="22"/>
      <c r="D899" s="40"/>
      <c r="E899" s="41"/>
      <c r="F899" s="27" t="str">
        <f t="shared" si="1"/>
        <v/>
      </c>
    </row>
    <row r="900">
      <c r="A900" s="22"/>
      <c r="D900" s="40"/>
      <c r="E900" s="41"/>
      <c r="F900" s="27" t="str">
        <f t="shared" si="1"/>
        <v/>
      </c>
    </row>
    <row r="901">
      <c r="A901" s="22"/>
      <c r="D901" s="40"/>
      <c r="E901" s="41"/>
      <c r="F901" s="27" t="str">
        <f t="shared" si="1"/>
        <v/>
      </c>
    </row>
    <row r="902">
      <c r="A902" s="22"/>
      <c r="D902" s="40"/>
      <c r="E902" s="41"/>
      <c r="F902" s="27" t="str">
        <f t="shared" si="1"/>
        <v/>
      </c>
    </row>
    <row r="903">
      <c r="A903" s="22"/>
      <c r="D903" s="40"/>
      <c r="E903" s="41"/>
      <c r="F903" s="27" t="str">
        <f t="shared" si="1"/>
        <v/>
      </c>
    </row>
    <row r="904">
      <c r="A904" s="22"/>
      <c r="D904" s="40"/>
      <c r="E904" s="41"/>
      <c r="F904" s="27" t="str">
        <f t="shared" si="1"/>
        <v/>
      </c>
    </row>
    <row r="905">
      <c r="A905" s="22"/>
      <c r="D905" s="40"/>
      <c r="E905" s="41"/>
      <c r="F905" s="27" t="str">
        <f t="shared" si="1"/>
        <v/>
      </c>
    </row>
    <row r="906">
      <c r="A906" s="22"/>
      <c r="D906" s="40"/>
      <c r="E906" s="41"/>
      <c r="F906" s="27" t="str">
        <f t="shared" si="1"/>
        <v/>
      </c>
    </row>
    <row r="907">
      <c r="A907" s="22"/>
      <c r="D907" s="40"/>
      <c r="E907" s="41"/>
      <c r="F907" s="27" t="str">
        <f t="shared" si="1"/>
        <v/>
      </c>
    </row>
    <row r="908">
      <c r="A908" s="22"/>
      <c r="D908" s="40"/>
      <c r="E908" s="41"/>
      <c r="F908" s="27" t="str">
        <f t="shared" si="1"/>
        <v/>
      </c>
    </row>
    <row r="909">
      <c r="A909" s="22"/>
      <c r="D909" s="40"/>
      <c r="E909" s="41"/>
      <c r="F909" s="27" t="str">
        <f t="shared" si="1"/>
        <v/>
      </c>
    </row>
    <row r="910">
      <c r="A910" s="22"/>
      <c r="D910" s="40"/>
      <c r="E910" s="41"/>
      <c r="F910" s="27" t="str">
        <f t="shared" si="1"/>
        <v/>
      </c>
    </row>
    <row r="911">
      <c r="A911" s="22"/>
      <c r="D911" s="40"/>
      <c r="E911" s="41"/>
      <c r="F911" s="27" t="str">
        <f t="shared" si="1"/>
        <v/>
      </c>
    </row>
    <row r="912">
      <c r="A912" s="22"/>
      <c r="D912" s="40"/>
      <c r="E912" s="41"/>
      <c r="F912" s="27" t="str">
        <f t="shared" si="1"/>
        <v/>
      </c>
    </row>
    <row r="913">
      <c r="A913" s="22"/>
      <c r="D913" s="40"/>
      <c r="E913" s="41"/>
      <c r="F913" s="27" t="str">
        <f t="shared" si="1"/>
        <v/>
      </c>
    </row>
    <row r="914">
      <c r="A914" s="22"/>
      <c r="D914" s="40"/>
      <c r="E914" s="41"/>
      <c r="F914" s="27" t="str">
        <f t="shared" si="1"/>
        <v/>
      </c>
    </row>
    <row r="915">
      <c r="A915" s="22"/>
      <c r="D915" s="40"/>
      <c r="E915" s="41"/>
      <c r="F915" s="27" t="str">
        <f t="shared" si="1"/>
        <v/>
      </c>
    </row>
    <row r="916">
      <c r="A916" s="22"/>
      <c r="D916" s="40"/>
      <c r="E916" s="41"/>
      <c r="F916" s="27" t="str">
        <f t="shared" si="1"/>
        <v/>
      </c>
    </row>
    <row r="917">
      <c r="A917" s="22"/>
      <c r="D917" s="40"/>
      <c r="E917" s="41"/>
      <c r="F917" s="27" t="str">
        <f t="shared" si="1"/>
        <v/>
      </c>
    </row>
    <row r="918">
      <c r="A918" s="22"/>
      <c r="D918" s="40"/>
      <c r="E918" s="41"/>
      <c r="F918" s="27" t="str">
        <f t="shared" si="1"/>
        <v/>
      </c>
    </row>
    <row r="919">
      <c r="A919" s="22"/>
      <c r="D919" s="40"/>
      <c r="E919" s="41"/>
      <c r="F919" s="27" t="str">
        <f t="shared" si="1"/>
        <v/>
      </c>
    </row>
    <row r="920">
      <c r="A920" s="22"/>
      <c r="D920" s="40"/>
      <c r="E920" s="41"/>
      <c r="F920" s="27" t="str">
        <f t="shared" si="1"/>
        <v/>
      </c>
    </row>
    <row r="921">
      <c r="A921" s="22"/>
      <c r="D921" s="40"/>
      <c r="E921" s="41"/>
      <c r="F921" s="27" t="str">
        <f t="shared" si="1"/>
        <v/>
      </c>
    </row>
    <row r="922">
      <c r="A922" s="22"/>
      <c r="D922" s="40"/>
      <c r="E922" s="41"/>
      <c r="F922" s="27" t="str">
        <f t="shared" si="1"/>
        <v/>
      </c>
    </row>
    <row r="923">
      <c r="A923" s="22"/>
      <c r="D923" s="40"/>
      <c r="E923" s="41"/>
      <c r="F923" s="27" t="str">
        <f t="shared" si="1"/>
        <v/>
      </c>
    </row>
    <row r="924">
      <c r="A924" s="22"/>
      <c r="D924" s="40"/>
      <c r="E924" s="41"/>
      <c r="F924" s="27" t="str">
        <f t="shared" si="1"/>
        <v/>
      </c>
    </row>
    <row r="925">
      <c r="A925" s="22"/>
      <c r="D925" s="40"/>
      <c r="E925" s="41"/>
      <c r="F925" s="27" t="str">
        <f t="shared" si="1"/>
        <v/>
      </c>
    </row>
    <row r="926">
      <c r="A926" s="22"/>
      <c r="D926" s="40"/>
      <c r="E926" s="41"/>
      <c r="F926" s="27" t="str">
        <f t="shared" si="1"/>
        <v/>
      </c>
    </row>
    <row r="927">
      <c r="A927" s="22"/>
      <c r="D927" s="40"/>
      <c r="E927" s="41"/>
      <c r="F927" s="27" t="str">
        <f t="shared" si="1"/>
        <v/>
      </c>
    </row>
    <row r="928">
      <c r="A928" s="22"/>
      <c r="D928" s="40"/>
      <c r="E928" s="41"/>
      <c r="F928" s="27" t="str">
        <f t="shared" si="1"/>
        <v/>
      </c>
    </row>
    <row r="929">
      <c r="A929" s="22"/>
      <c r="D929" s="40"/>
      <c r="E929" s="41"/>
      <c r="F929" s="27" t="str">
        <f t="shared" si="1"/>
        <v/>
      </c>
    </row>
    <row r="930">
      <c r="A930" s="22"/>
      <c r="D930" s="40"/>
      <c r="E930" s="41"/>
      <c r="F930" s="27" t="str">
        <f t="shared" si="1"/>
        <v/>
      </c>
    </row>
    <row r="931">
      <c r="A931" s="22"/>
      <c r="D931" s="40"/>
      <c r="E931" s="41"/>
      <c r="F931" s="27" t="str">
        <f t="shared" si="1"/>
        <v/>
      </c>
    </row>
    <row r="932">
      <c r="A932" s="22"/>
      <c r="D932" s="40"/>
      <c r="E932" s="41"/>
      <c r="F932" s="27" t="str">
        <f t="shared" si="1"/>
        <v/>
      </c>
    </row>
    <row r="933">
      <c r="A933" s="22"/>
      <c r="D933" s="40"/>
      <c r="E933" s="41"/>
      <c r="F933" s="27" t="str">
        <f t="shared" si="1"/>
        <v/>
      </c>
    </row>
    <row r="934">
      <c r="A934" s="22"/>
      <c r="D934" s="40"/>
      <c r="E934" s="41"/>
      <c r="F934" s="27" t="str">
        <f t="shared" si="1"/>
        <v/>
      </c>
    </row>
    <row r="935">
      <c r="A935" s="22"/>
      <c r="D935" s="40"/>
      <c r="E935" s="41"/>
      <c r="F935" s="27" t="str">
        <f t="shared" si="1"/>
        <v/>
      </c>
    </row>
    <row r="936">
      <c r="A936" s="22"/>
      <c r="D936" s="40"/>
      <c r="E936" s="41"/>
      <c r="F936" s="27" t="str">
        <f t="shared" si="1"/>
        <v/>
      </c>
    </row>
    <row r="937">
      <c r="A937" s="22"/>
      <c r="D937" s="40"/>
      <c r="E937" s="41"/>
      <c r="F937" s="27" t="str">
        <f t="shared" si="1"/>
        <v/>
      </c>
    </row>
    <row r="938">
      <c r="A938" s="22"/>
      <c r="D938" s="40"/>
      <c r="E938" s="41"/>
      <c r="F938" s="27" t="str">
        <f t="shared" si="1"/>
        <v/>
      </c>
    </row>
    <row r="939">
      <c r="A939" s="22"/>
      <c r="D939" s="40"/>
      <c r="E939" s="41"/>
      <c r="F939" s="27" t="str">
        <f t="shared" si="1"/>
        <v/>
      </c>
    </row>
    <row r="940">
      <c r="A940" s="22"/>
      <c r="D940" s="40"/>
      <c r="E940" s="41"/>
      <c r="F940" s="27" t="str">
        <f t="shared" si="1"/>
        <v/>
      </c>
    </row>
    <row r="941">
      <c r="A941" s="22"/>
      <c r="D941" s="40"/>
      <c r="E941" s="41"/>
      <c r="F941" s="27" t="str">
        <f t="shared" si="1"/>
        <v/>
      </c>
    </row>
    <row r="942">
      <c r="A942" s="22"/>
      <c r="D942" s="40"/>
      <c r="E942" s="41"/>
      <c r="F942" s="27" t="str">
        <f t="shared" si="1"/>
        <v/>
      </c>
    </row>
    <row r="943">
      <c r="A943" s="22"/>
      <c r="D943" s="40"/>
      <c r="E943" s="41"/>
      <c r="F943" s="27" t="str">
        <f t="shared" si="1"/>
        <v/>
      </c>
    </row>
    <row r="944">
      <c r="A944" s="22"/>
      <c r="D944" s="40"/>
      <c r="E944" s="41"/>
      <c r="F944" s="27" t="str">
        <f t="shared" si="1"/>
        <v/>
      </c>
    </row>
    <row r="945">
      <c r="A945" s="22"/>
      <c r="D945" s="40"/>
      <c r="E945" s="41"/>
      <c r="F945" s="27" t="str">
        <f t="shared" si="1"/>
        <v/>
      </c>
    </row>
    <row r="946">
      <c r="A946" s="22"/>
      <c r="D946" s="40"/>
      <c r="E946" s="41"/>
      <c r="F946" s="27" t="str">
        <f t="shared" si="1"/>
        <v/>
      </c>
    </row>
    <row r="947">
      <c r="A947" s="22"/>
      <c r="D947" s="40"/>
      <c r="E947" s="41"/>
      <c r="F947" s="27" t="str">
        <f t="shared" si="1"/>
        <v/>
      </c>
    </row>
    <row r="948">
      <c r="A948" s="22"/>
      <c r="D948" s="40"/>
      <c r="E948" s="41"/>
      <c r="F948" s="27" t="str">
        <f t="shared" si="1"/>
        <v/>
      </c>
    </row>
    <row r="949">
      <c r="A949" s="22"/>
      <c r="D949" s="40"/>
      <c r="E949" s="41"/>
      <c r="F949" s="27" t="str">
        <f t="shared" si="1"/>
        <v/>
      </c>
    </row>
    <row r="950">
      <c r="A950" s="22"/>
      <c r="D950" s="40"/>
      <c r="E950" s="41"/>
      <c r="F950" s="27" t="str">
        <f t="shared" si="1"/>
        <v/>
      </c>
    </row>
    <row r="951">
      <c r="A951" s="22"/>
      <c r="D951" s="40"/>
      <c r="E951" s="41"/>
      <c r="F951" s="27" t="str">
        <f t="shared" si="1"/>
        <v/>
      </c>
    </row>
    <row r="952">
      <c r="A952" s="22"/>
      <c r="D952" s="40"/>
      <c r="E952" s="41"/>
      <c r="F952" s="27" t="str">
        <f t="shared" si="1"/>
        <v/>
      </c>
    </row>
    <row r="953">
      <c r="A953" s="22"/>
      <c r="D953" s="40"/>
      <c r="E953" s="41"/>
      <c r="F953" s="27" t="str">
        <f t="shared" si="1"/>
        <v/>
      </c>
    </row>
    <row r="954">
      <c r="A954" s="22"/>
      <c r="D954" s="40"/>
      <c r="E954" s="41"/>
      <c r="F954" s="27" t="str">
        <f t="shared" si="1"/>
        <v/>
      </c>
    </row>
    <row r="955">
      <c r="A955" s="22"/>
      <c r="D955" s="40"/>
      <c r="E955" s="41"/>
      <c r="F955" s="27" t="str">
        <f t="shared" si="1"/>
        <v/>
      </c>
    </row>
    <row r="956">
      <c r="A956" s="22"/>
      <c r="D956" s="40"/>
      <c r="E956" s="41"/>
      <c r="F956" s="27" t="str">
        <f t="shared" si="1"/>
        <v/>
      </c>
    </row>
    <row r="957">
      <c r="A957" s="22"/>
      <c r="D957" s="40"/>
      <c r="E957" s="41"/>
      <c r="F957" s="27" t="str">
        <f t="shared" si="1"/>
        <v/>
      </c>
    </row>
    <row r="958">
      <c r="A958" s="22"/>
      <c r="D958" s="40"/>
      <c r="E958" s="41"/>
      <c r="F958" s="27" t="str">
        <f t="shared" si="1"/>
        <v/>
      </c>
    </row>
    <row r="959">
      <c r="A959" s="22"/>
      <c r="D959" s="40"/>
      <c r="E959" s="41"/>
      <c r="F959" s="27" t="str">
        <f t="shared" si="1"/>
        <v/>
      </c>
    </row>
    <row r="960">
      <c r="A960" s="22"/>
      <c r="D960" s="40"/>
      <c r="E960" s="41"/>
      <c r="F960" s="27" t="str">
        <f t="shared" si="1"/>
        <v/>
      </c>
    </row>
    <row r="961">
      <c r="A961" s="22"/>
      <c r="D961" s="40"/>
      <c r="E961" s="41"/>
      <c r="F961" s="27" t="str">
        <f t="shared" si="1"/>
        <v/>
      </c>
    </row>
    <row r="962">
      <c r="A962" s="22"/>
      <c r="D962" s="40"/>
      <c r="E962" s="41"/>
      <c r="F962" s="27" t="str">
        <f t="shared" si="1"/>
        <v/>
      </c>
    </row>
    <row r="963">
      <c r="A963" s="22"/>
      <c r="D963" s="40"/>
      <c r="E963" s="41"/>
      <c r="F963" s="27" t="str">
        <f t="shared" si="1"/>
        <v/>
      </c>
    </row>
    <row r="964">
      <c r="A964" s="22"/>
      <c r="D964" s="40"/>
      <c r="E964" s="41"/>
      <c r="F964" s="27" t="str">
        <f t="shared" si="1"/>
        <v/>
      </c>
    </row>
    <row r="965">
      <c r="A965" s="22"/>
      <c r="D965" s="40"/>
      <c r="E965" s="41"/>
      <c r="F965" s="27" t="str">
        <f t="shared" si="1"/>
        <v/>
      </c>
    </row>
    <row r="966">
      <c r="A966" s="22"/>
      <c r="D966" s="40"/>
      <c r="E966" s="41"/>
      <c r="F966" s="27" t="str">
        <f t="shared" si="1"/>
        <v/>
      </c>
    </row>
    <row r="967">
      <c r="A967" s="22"/>
      <c r="D967" s="40"/>
      <c r="E967" s="41"/>
      <c r="F967" s="27" t="str">
        <f t="shared" si="1"/>
        <v/>
      </c>
    </row>
    <row r="968">
      <c r="A968" s="22"/>
      <c r="D968" s="40"/>
      <c r="E968" s="41"/>
      <c r="F968" s="27" t="str">
        <f t="shared" si="1"/>
        <v/>
      </c>
    </row>
    <row r="969">
      <c r="A969" s="22"/>
      <c r="D969" s="40"/>
      <c r="E969" s="41"/>
      <c r="F969" s="27" t="str">
        <f t="shared" si="1"/>
        <v/>
      </c>
    </row>
    <row r="970">
      <c r="A970" s="22"/>
      <c r="D970" s="40"/>
      <c r="E970" s="41"/>
      <c r="F970" s="27" t="str">
        <f t="shared" si="1"/>
        <v/>
      </c>
    </row>
    <row r="971">
      <c r="A971" s="22"/>
      <c r="D971" s="40"/>
      <c r="E971" s="41"/>
      <c r="F971" s="27" t="str">
        <f t="shared" si="1"/>
        <v/>
      </c>
    </row>
    <row r="972">
      <c r="A972" s="22"/>
      <c r="D972" s="40"/>
      <c r="E972" s="41"/>
      <c r="F972" s="27" t="str">
        <f t="shared" si="1"/>
        <v/>
      </c>
    </row>
    <row r="973">
      <c r="A973" s="22"/>
      <c r="D973" s="40"/>
      <c r="E973" s="41"/>
      <c r="F973" s="27" t="str">
        <f t="shared" si="1"/>
        <v/>
      </c>
    </row>
    <row r="974">
      <c r="A974" s="22"/>
      <c r="D974" s="40"/>
      <c r="E974" s="41"/>
      <c r="F974" s="27" t="str">
        <f t="shared" si="1"/>
        <v/>
      </c>
    </row>
    <row r="975">
      <c r="A975" s="22"/>
      <c r="D975" s="40"/>
      <c r="E975" s="41"/>
      <c r="F975" s="27" t="str">
        <f t="shared" si="1"/>
        <v/>
      </c>
    </row>
    <row r="976">
      <c r="A976" s="22"/>
      <c r="D976" s="40"/>
      <c r="E976" s="41"/>
      <c r="F976" s="27" t="str">
        <f t="shared" si="1"/>
        <v/>
      </c>
    </row>
    <row r="977">
      <c r="A977" s="22"/>
      <c r="D977" s="40"/>
      <c r="E977" s="41"/>
      <c r="F977" s="27" t="str">
        <f t="shared" si="1"/>
        <v/>
      </c>
    </row>
    <row r="978">
      <c r="A978" s="22"/>
      <c r="D978" s="40"/>
      <c r="E978" s="41"/>
      <c r="F978" s="27" t="str">
        <f t="shared" si="1"/>
        <v/>
      </c>
    </row>
    <row r="979">
      <c r="A979" s="22"/>
      <c r="D979" s="40"/>
      <c r="E979" s="41"/>
      <c r="F979" s="27" t="str">
        <f t="shared" si="1"/>
        <v/>
      </c>
    </row>
    <row r="980">
      <c r="A980" s="22"/>
      <c r="D980" s="40"/>
      <c r="E980" s="41"/>
      <c r="F980" s="27" t="str">
        <f t="shared" si="1"/>
        <v/>
      </c>
    </row>
    <row r="981">
      <c r="A981" s="22"/>
      <c r="D981" s="40"/>
      <c r="E981" s="41"/>
      <c r="F981" s="27" t="str">
        <f t="shared" si="1"/>
        <v/>
      </c>
    </row>
    <row r="982">
      <c r="A982" s="22"/>
      <c r="D982" s="40"/>
      <c r="E982" s="41"/>
      <c r="F982" s="27" t="str">
        <f t="shared" si="1"/>
        <v/>
      </c>
    </row>
    <row r="983">
      <c r="A983" s="22"/>
      <c r="D983" s="40"/>
      <c r="E983" s="41"/>
      <c r="F983" s="27" t="str">
        <f t="shared" si="1"/>
        <v/>
      </c>
    </row>
    <row r="984">
      <c r="A984" s="22"/>
      <c r="D984" s="40"/>
      <c r="E984" s="41"/>
      <c r="F984" s="27" t="str">
        <f t="shared" si="1"/>
        <v/>
      </c>
    </row>
    <row r="985">
      <c r="A985" s="22"/>
      <c r="D985" s="40"/>
      <c r="E985" s="41"/>
      <c r="F985" s="27" t="str">
        <f t="shared" si="1"/>
        <v/>
      </c>
    </row>
    <row r="986">
      <c r="A986" s="22"/>
      <c r="D986" s="40"/>
      <c r="E986" s="41"/>
      <c r="F986" s="27" t="str">
        <f t="shared" si="1"/>
        <v/>
      </c>
    </row>
    <row r="987">
      <c r="A987" s="22"/>
      <c r="D987" s="40"/>
      <c r="E987" s="41"/>
      <c r="F987" s="27" t="str">
        <f t="shared" si="1"/>
        <v/>
      </c>
    </row>
    <row r="988">
      <c r="A988" s="22"/>
      <c r="D988" s="40"/>
      <c r="E988" s="41"/>
      <c r="F988" s="27" t="str">
        <f t="shared" si="1"/>
        <v/>
      </c>
    </row>
    <row r="989">
      <c r="A989" s="22"/>
      <c r="D989" s="40"/>
      <c r="E989" s="41"/>
      <c r="F989" s="27" t="str">
        <f t="shared" si="1"/>
        <v/>
      </c>
    </row>
    <row r="990">
      <c r="A990" s="22"/>
      <c r="D990" s="40"/>
      <c r="E990" s="41"/>
      <c r="F990" s="27" t="str">
        <f t="shared" si="1"/>
        <v/>
      </c>
    </row>
    <row r="991">
      <c r="A991" s="22"/>
      <c r="D991" s="40"/>
      <c r="E991" s="41"/>
      <c r="F991" s="27" t="str">
        <f t="shared" si="1"/>
        <v/>
      </c>
    </row>
    <row r="992">
      <c r="A992" s="22"/>
      <c r="D992" s="40"/>
      <c r="E992" s="41"/>
      <c r="F992" s="27" t="str">
        <f t="shared" si="1"/>
        <v/>
      </c>
    </row>
    <row r="993">
      <c r="A993" s="22"/>
      <c r="D993" s="40"/>
      <c r="E993" s="41"/>
      <c r="F993" s="27" t="str">
        <f t="shared" si="1"/>
        <v/>
      </c>
    </row>
    <row r="994">
      <c r="A994" s="22"/>
      <c r="D994" s="40"/>
      <c r="E994" s="41"/>
      <c r="F994" s="27" t="str">
        <f t="shared" si="1"/>
        <v/>
      </c>
    </row>
    <row r="995">
      <c r="A995" s="22"/>
      <c r="D995" s="40"/>
      <c r="E995" s="41"/>
      <c r="F995" s="27" t="str">
        <f t="shared" si="1"/>
        <v/>
      </c>
    </row>
    <row r="996">
      <c r="A996" s="22"/>
      <c r="D996" s="40"/>
      <c r="E996" s="41"/>
      <c r="F996" s="27" t="str">
        <f t="shared" si="1"/>
        <v/>
      </c>
    </row>
    <row r="997">
      <c r="A997" s="22"/>
      <c r="D997" s="40"/>
      <c r="E997" s="41"/>
      <c r="F997" s="27" t="str">
        <f t="shared" si="1"/>
        <v/>
      </c>
    </row>
    <row r="998">
      <c r="A998" s="22"/>
      <c r="D998" s="40"/>
      <c r="E998" s="41"/>
      <c r="F998" s="27" t="str">
        <f t="shared" si="1"/>
        <v/>
      </c>
    </row>
    <row r="999">
      <c r="A999" s="22"/>
      <c r="D999" s="40"/>
      <c r="E999" s="41"/>
      <c r="F999" s="27" t="str">
        <f t="shared" si="1"/>
        <v/>
      </c>
    </row>
    <row r="1000">
      <c r="A1000" s="22"/>
      <c r="D1000" s="40"/>
      <c r="E1000" s="41"/>
      <c r="F1000" s="27" t="str">
        <f t="shared" si="1"/>
        <v/>
      </c>
    </row>
  </sheetData>
  <dataValidations>
    <dataValidation type="list" allowBlank="1" sqref="B1">
      <formula1>Settings!$B$2:$B$20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  <col customWidth="1" min="5" max="5" width="18.38"/>
    <col customWidth="1" min="6" max="6" width="18.0"/>
    <col customWidth="1" min="8" max="8" width="22.88"/>
  </cols>
  <sheetData>
    <row r="1">
      <c r="A1" s="19" t="s">
        <v>100</v>
      </c>
      <c r="B1" s="19" t="s">
        <v>101</v>
      </c>
      <c r="C1" s="19" t="s">
        <v>16</v>
      </c>
      <c r="D1" s="12" t="s">
        <v>102</v>
      </c>
      <c r="E1" s="19" t="s">
        <v>103</v>
      </c>
      <c r="F1" s="19" t="s">
        <v>56</v>
      </c>
      <c r="H1" s="12" t="s">
        <v>104</v>
      </c>
      <c r="I1" s="12"/>
    </row>
    <row r="2">
      <c r="A2" s="19" t="s">
        <v>105</v>
      </c>
      <c r="B2" s="19" t="s">
        <v>49</v>
      </c>
      <c r="C2" s="19" t="s">
        <v>106</v>
      </c>
      <c r="D2" s="19" t="s">
        <v>48</v>
      </c>
      <c r="E2" s="19" t="s">
        <v>107</v>
      </c>
      <c r="F2" s="19">
        <v>0.0</v>
      </c>
      <c r="H2" s="42" t="s">
        <v>61</v>
      </c>
    </row>
    <row r="3">
      <c r="A3" s="19" t="s">
        <v>108</v>
      </c>
      <c r="B3" s="19" t="s">
        <v>52</v>
      </c>
      <c r="C3" s="19" t="s">
        <v>18</v>
      </c>
      <c r="D3" s="19" t="s">
        <v>109</v>
      </c>
      <c r="E3" s="19" t="s">
        <v>110</v>
      </c>
      <c r="F3" s="19">
        <v>5.0</v>
      </c>
      <c r="H3" s="42" t="s">
        <v>111</v>
      </c>
    </row>
    <row r="4">
      <c r="A4" s="19" t="s">
        <v>49</v>
      </c>
      <c r="B4" s="19" t="s">
        <v>90</v>
      </c>
      <c r="C4" s="19" t="s">
        <v>19</v>
      </c>
      <c r="D4" s="19" t="s">
        <v>112</v>
      </c>
      <c r="F4" s="19">
        <v>12.0</v>
      </c>
      <c r="H4" s="42" t="s">
        <v>63</v>
      </c>
    </row>
    <row r="5">
      <c r="A5" s="19" t="s">
        <v>51</v>
      </c>
      <c r="C5" s="19" t="s">
        <v>20</v>
      </c>
      <c r="D5" s="19" t="s">
        <v>113</v>
      </c>
      <c r="F5" s="19">
        <v>18.0</v>
      </c>
      <c r="H5" s="42" t="s">
        <v>114</v>
      </c>
    </row>
    <row r="6">
      <c r="A6" s="19"/>
      <c r="B6" s="19"/>
      <c r="C6" s="19" t="s">
        <v>21</v>
      </c>
      <c r="D6" s="19" t="s">
        <v>50</v>
      </c>
      <c r="H6" s="42" t="s">
        <v>66</v>
      </c>
    </row>
    <row r="7">
      <c r="A7" s="19"/>
      <c r="B7" s="19"/>
      <c r="C7" s="19" t="s">
        <v>22</v>
      </c>
      <c r="D7" s="19" t="s">
        <v>115</v>
      </c>
      <c r="H7" s="42" t="s">
        <v>69</v>
      </c>
    </row>
    <row r="8">
      <c r="A8" s="19"/>
      <c r="B8" s="19"/>
      <c r="C8" s="19" t="s">
        <v>23</v>
      </c>
      <c r="H8" s="42" t="s">
        <v>116</v>
      </c>
    </row>
    <row r="9">
      <c r="A9" s="19"/>
      <c r="B9" s="19"/>
      <c r="C9" s="19" t="s">
        <v>24</v>
      </c>
      <c r="H9" s="43" t="s">
        <v>117</v>
      </c>
    </row>
    <row r="10">
      <c r="H10" s="43" t="s">
        <v>76</v>
      </c>
    </row>
    <row r="11">
      <c r="H11" s="43" t="s">
        <v>79</v>
      </c>
    </row>
    <row r="12">
      <c r="H12" s="43" t="s">
        <v>118</v>
      </c>
    </row>
    <row r="13">
      <c r="H13" s="43" t="s">
        <v>119</v>
      </c>
    </row>
    <row r="14">
      <c r="H14" s="43" t="s">
        <v>120</v>
      </c>
    </row>
    <row r="15">
      <c r="H15" s="43" t="s">
        <v>121</v>
      </c>
    </row>
    <row r="16">
      <c r="H16" s="43" t="s">
        <v>122</v>
      </c>
    </row>
  </sheetData>
  <drawing r:id="rId1"/>
</worksheet>
</file>